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51200" windowHeight="26400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年度指标" sheetId="2" state="visible" r:id="rId2"/>
    <sheet xmlns:r="http://schemas.openxmlformats.org/officeDocument/2006/relationships" name="月度收益" sheetId="3" state="visible" r:id="rId3"/>
    <sheet xmlns:r="http://schemas.openxmlformats.org/officeDocument/2006/relationships" name="月度超额收益（几何）" sheetId="4" state="visible" r:id="rId4"/>
    <sheet xmlns:r="http://schemas.openxmlformats.org/officeDocument/2006/relationships" name="个股权重" sheetId="5" state="visible" r:id="rId5"/>
    <sheet xmlns:r="http://schemas.openxmlformats.org/officeDocument/2006/relationships" name="压力测试" sheetId="6" state="visible" r:id="rId6"/>
  </sheets>
  <definedNames>
    <definedName name="daily__date_count">COUNTA(个股权重!$A:$A)-1</definedName>
    <definedName name="daily__dates">OFFSET(个股权重!$A$2,0,0,daily__date_count)</definedName>
    <definedName name="daily__weight_25">OFFSET(个股权重!$F$2,0,0,daily__date_count)</definedName>
    <definedName name="daily__weight_50">OFFSET(个股权重!$G$2,0,0,daily__date_count)</definedName>
    <definedName name="daily__weight_75">OFFSET(个股权重!$H$2,0,0,daily__date_count)</definedName>
    <definedName name="daily__weight_max">OFFSET(个股权重!$I$2,0,0,daily__date_count)</definedName>
    <definedName name="daily__weight_mean">OFFSET(个股权重!$C$2,0,0,daily__date_count)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.000_ "/>
    <numFmt numFmtId="166" formatCode="0_ "/>
    <numFmt numFmtId="167" formatCode="0_);[Red]\(0\)"/>
    <numFmt numFmtId="168" formatCode="yyyy/m/d;@"/>
    <numFmt numFmtId="169" formatCode="yyyy-mm-dd h:mm:ss"/>
  </numFmts>
  <fonts count="6">
    <font>
      <name val="宋体"/>
      <charset val="134"/>
      <color theme="1"/>
      <sz val="11"/>
      <scheme val="minor"/>
    </font>
    <font>
      <name val="Arial"/>
      <family val="2"/>
      <color rgb="FF000000"/>
      <sz val="12"/>
    </font>
    <font>
      <name val="宋体"/>
      <charset val="134"/>
      <family val="3"/>
      <sz val="9"/>
      <scheme val="minor"/>
    </font>
    <font>
      <name val="等线"/>
      <charset val="134"/>
      <family val="3"/>
      <color theme="1"/>
      <sz val="14"/>
    </font>
    <font>
      <name val="宋体"/>
      <charset val="134"/>
      <family val="3"/>
      <color theme="1"/>
      <sz val="14"/>
      <scheme val="minor"/>
    </font>
    <font>
      <name val="等线"/>
      <charset val="134"/>
      <family val="3"/>
      <color theme="0"/>
      <sz val="14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6" borderId="7" applyAlignment="1" applyProtection="1">
      <alignment horizontal="center" vertical="center" wrapText="1" shrinkToFit="1"/>
      <protection locked="0" hidden="0"/>
    </xf>
    <xf numFmtId="0" fontId="1" fillId="6" borderId="7" applyAlignment="1" applyProtection="1">
      <alignment horizontal="center" vertical="center"/>
      <protection locked="0" hidden="0"/>
    </xf>
  </cellStyleXfs>
  <cellXfs count="35">
    <xf numFmtId="0" fontId="0" fillId="0" borderId="0" pivotButton="0" quotePrefix="0" xfId="0"/>
    <xf numFmtId="0" fontId="3" fillId="3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10" fontId="3" fillId="5" borderId="4" applyAlignment="1" pivotButton="0" quotePrefix="0" xfId="0">
      <alignment vertical="center"/>
    </xf>
    <xf numFmtId="164" fontId="3" fillId="5" borderId="4" applyAlignment="1" pivotButton="0" quotePrefix="0" xfId="0">
      <alignment vertical="center"/>
    </xf>
    <xf numFmtId="10" fontId="3" fillId="3" borderId="4" applyAlignment="1" pivotButton="0" quotePrefix="0" xfId="0">
      <alignment vertical="center"/>
    </xf>
    <xf numFmtId="164" fontId="3" fillId="3" borderId="4" applyAlignment="1" pivotButton="0" quotePrefix="0" xfId="0">
      <alignment vertical="center"/>
    </xf>
    <xf numFmtId="165" fontId="3" fillId="3" borderId="4" applyAlignment="1" pivotButton="0" quotePrefix="0" xfId="0">
      <alignment vertical="center"/>
    </xf>
    <xf numFmtId="0" fontId="3" fillId="3" borderId="4" applyAlignment="1" pivotButton="0" quotePrefix="0" xfId="0">
      <alignment horizontal="right" vertical="center"/>
    </xf>
    <xf numFmtId="10" fontId="3" fillId="3" borderId="6" applyAlignment="1" pivotButton="0" quotePrefix="0" xfId="0">
      <alignment vertical="center"/>
    </xf>
    <xf numFmtId="0" fontId="5" fillId="2" borderId="2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49" fontId="5" fillId="2" borderId="0" applyAlignment="1" pivotButton="0" quotePrefix="0" xfId="0">
      <alignment vertical="center"/>
    </xf>
    <xf numFmtId="164" fontId="3" fillId="5" borderId="4" applyAlignment="1" pivotButton="0" quotePrefix="0" xfId="0">
      <alignment vertical="center"/>
    </xf>
    <xf numFmtId="164" fontId="3" fillId="3" borderId="4" applyAlignment="1" pivotButton="0" quotePrefix="0" xfId="0">
      <alignment vertical="center"/>
    </xf>
    <xf numFmtId="165" fontId="3" fillId="3" borderId="4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</cellXfs>
  <cellStyles count="3">
    <cellStyle name="常规" xfId="0" builtinId="0"/>
    <cellStyle name="-3522966690757464237" xfId="1"/>
    <cellStyle name="-4237263631367923067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 defTabSz="914400">
              <a:defRPr lang="zh-CN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个股权重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个股权重!$C$1</f>
              <strCache>
                <ptCount val="1"/>
                <pt idx="0">
                  <v>mean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[0]!daily__weight_mean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strRef>
              <f>个股权重!$H$1</f>
              <strCache>
                <ptCount val="1"/>
                <pt idx="0">
                  <v>75%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[0]!daily__weight_75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ser>
          <idx val="2"/>
          <order val="2"/>
          <tx>
            <strRef>
              <f>个股权重!$I$1</f>
              <strCache>
                <ptCount val="1"/>
                <pt idx="0">
                  <v>max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[0]!daily__weight_max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1121013"/>
        <axId val="195469628"/>
      </lineChart>
      <catAx>
        <axId val="10112101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0" vertOverflow="ellipsis" wrap="square" anchor="ctr" anchorCtr="1" forceAA="0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95469628"/>
        <crosses val="autoZero"/>
        <auto val="1"/>
        <lblAlgn val="ctr"/>
        <lblOffset val="100"/>
        <noMultiLvlLbl val="1"/>
      </catAx>
      <valAx>
        <axId val="1954696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1121013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49872029250457"/>
          <y val="0.926296958855098"/>
          <w val="0.532650822669104"/>
          <h val="0.0593917710196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12700</rowOff>
    </from>
    <to>
      <col>17</col>
      <colOff>535940</colOff>
      <row>22</row>
      <rowOff>213995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tabSelected="1" workbookViewId="0">
      <selection activeCell="B13" sqref="B13"/>
    </sheetView>
  </sheetViews>
  <sheetFormatPr baseColWidth="10" defaultColWidth="8.83203125" defaultRowHeight="20" customHeight="1"/>
  <cols>
    <col width="34" customWidth="1" style="2" min="1" max="1"/>
    <col width="46.5" customWidth="1" style="2" min="2" max="2"/>
    <col width="8.83203125" customWidth="1" style="2" min="3" max="3"/>
    <col width="8.83203125" customWidth="1" style="2" min="4" max="16384"/>
  </cols>
  <sheetData>
    <row r="1" ht="20" customHeight="1">
      <c r="A1" s="12" t="inlineStr">
        <is>
          <t>策略名称</t>
        </is>
      </c>
      <c r="B1" s="1" t="inlineStr">
        <is>
          <t>20日动量教学策略</t>
        </is>
      </c>
    </row>
    <row r="2" ht="20" customHeight="1">
      <c r="A2" s="13" t="inlineStr">
        <is>
          <t>开始日期</t>
        </is>
      </c>
      <c r="B2" s="3" t="inlineStr">
        <is>
          <t>2024-01-02</t>
        </is>
      </c>
    </row>
    <row r="3" ht="20" customHeight="1">
      <c r="A3" s="13" t="inlineStr">
        <is>
          <t>结束日期</t>
        </is>
      </c>
      <c r="B3" s="3" t="inlineStr">
        <is>
          <t>2024-06-28</t>
        </is>
      </c>
    </row>
    <row r="4" ht="20" customHeight="1">
      <c r="A4" s="13" t="inlineStr">
        <is>
          <t>代码文件</t>
        </is>
      </c>
      <c r="B4" s="3" t="inlineStr">
        <is>
          <t>strategy.py</t>
        </is>
      </c>
    </row>
    <row r="5" ht="20" customHeight="1">
      <c r="A5" s="13" t="inlineStr">
        <is>
          <t>初始资金</t>
        </is>
      </c>
      <c r="B5" s="3" t="inlineStr">
        <is>
          <t>STOCK:1000000.0</t>
        </is>
      </c>
    </row>
    <row r="6" ht="20" customHeight="1">
      <c r="A6" s="13" t="inlineStr">
        <is>
          <t>业绩基准</t>
        </is>
      </c>
      <c r="B6" s="3" t="inlineStr">
        <is>
          <t>000300.XSHG</t>
        </is>
      </c>
    </row>
    <row r="7" ht="20" customHeight="1">
      <c r="A7" s="13" t="inlineStr">
        <is>
          <t>基准名称</t>
        </is>
      </c>
      <c r="B7" s="3" t="inlineStr">
        <is>
          <t>沪深300</t>
        </is>
      </c>
    </row>
    <row r="8" ht="20" customHeight="1">
      <c r="A8" s="14" t="inlineStr">
        <is>
          <t>总权益</t>
        </is>
      </c>
      <c r="B8" s="4" t="n">
        <v>1118149.2692</v>
      </c>
    </row>
    <row r="9" ht="20" customHeight="1">
      <c r="A9" s="14" t="inlineStr">
        <is>
          <t>剩余资金</t>
        </is>
      </c>
      <c r="B9" s="4" t="n">
        <v>57369.26919999998</v>
      </c>
    </row>
    <row r="10" ht="20" customHeight="1">
      <c r="A10" s="14" t="inlineStr">
        <is>
          <t>收益率</t>
        </is>
      </c>
      <c r="B10" s="5" t="n">
        <v>0.1181492691999999</v>
      </c>
    </row>
    <row r="11" ht="20" customHeight="1">
      <c r="A11" s="14" t="inlineStr">
        <is>
          <t>年化收益率</t>
        </is>
      </c>
      <c r="B11" s="5" t="n">
        <v>0.2719237414603612</v>
      </c>
    </row>
    <row r="12" ht="20" customHeight="1">
      <c r="A12" s="14" t="inlineStr">
        <is>
          <t>单位净值</t>
        </is>
      </c>
      <c r="B12" s="27" t="n">
        <v>1.1181492692</v>
      </c>
    </row>
    <row r="13" ht="20" customHeight="1">
      <c r="A13" s="14" t="inlineStr">
        <is>
          <t>年化双边换手</t>
        </is>
      </c>
      <c r="B13" s="5" t="n">
        <v>32.31037769243485</v>
      </c>
    </row>
    <row r="14" ht="20" customHeight="1">
      <c r="A14" s="14" t="inlineStr">
        <is>
          <t>换手率</t>
        </is>
      </c>
      <c r="B14" s="5" t="n">
        <v>7.500623392886662</v>
      </c>
    </row>
    <row r="15" ht="20" customHeight="1">
      <c r="A15" s="14" t="inlineStr">
        <is>
          <t>日均换手率</t>
        </is>
      </c>
      <c r="B15" s="5" t="n">
        <v>0.06473801496882491</v>
      </c>
    </row>
    <row r="16" ht="20" customHeight="1">
      <c r="A16" s="13" t="inlineStr">
        <is>
          <t>波动率</t>
        </is>
      </c>
      <c r="B16" s="7" t="n">
        <v>0.1592129673673578</v>
      </c>
    </row>
    <row r="17" ht="20" customHeight="1">
      <c r="A17" s="13" t="inlineStr">
        <is>
          <t>夏普比率</t>
        </is>
      </c>
      <c r="B17" s="28" t="n">
        <v>1.477667426197651</v>
      </c>
    </row>
    <row r="18" ht="20" customHeight="1">
      <c r="A18" s="13" t="inlineStr">
        <is>
          <t>下行风险</t>
        </is>
      </c>
      <c r="B18" s="28" t="n">
        <v>0.1056016476315665</v>
      </c>
    </row>
    <row r="19" ht="20" customHeight="1">
      <c r="A19" s="13" t="inlineStr">
        <is>
          <t>索提诺比率</t>
        </is>
      </c>
      <c r="B19" s="28" t="n">
        <v>2.227842282611213</v>
      </c>
    </row>
    <row r="20" ht="20" customHeight="1">
      <c r="A20" s="13" t="inlineStr">
        <is>
          <t>最大回撤</t>
        </is>
      </c>
      <c r="B20" s="7" t="n">
        <v>0.08085897425630016</v>
      </c>
    </row>
    <row r="21" ht="20" customHeight="1">
      <c r="A21" s="13" t="inlineStr">
        <is>
          <t>风险价值</t>
        </is>
      </c>
      <c r="B21" s="29" t="n">
        <v>0.01553778777432738</v>
      </c>
    </row>
    <row r="22" ht="20" customHeight="1">
      <c r="A22" s="13" t="inlineStr">
        <is>
          <t>胜率</t>
        </is>
      </c>
      <c r="B22" s="7" t="n">
        <v>0.5128205128205128</v>
      </c>
    </row>
    <row r="23" ht="20" customHeight="1">
      <c r="A23" s="13" t="inlineStr">
        <is>
          <t>盈亏比</t>
        </is>
      </c>
      <c r="B23" s="7" t="n">
        <v>1.214081240250466</v>
      </c>
    </row>
    <row r="24" ht="20" customHeight="1">
      <c r="A24" s="13" t="inlineStr">
        <is>
          <t>最长回撤开始日期</t>
        </is>
      </c>
      <c r="B24" s="10" t="inlineStr">
        <is>
          <t>2024-02-23</t>
        </is>
      </c>
    </row>
    <row r="25" ht="20" customHeight="1">
      <c r="A25" s="13" t="inlineStr">
        <is>
          <t>最长回撤结束日期</t>
        </is>
      </c>
      <c r="B25" s="10" t="inlineStr">
        <is>
          <t>2024-04-25</t>
        </is>
      </c>
    </row>
    <row r="26" ht="20" customHeight="1">
      <c r="A26" s="13" t="inlineStr">
        <is>
          <t>最长回撤持续天数</t>
        </is>
      </c>
      <c r="B26" s="3" t="n">
        <v>62</v>
      </c>
    </row>
    <row r="27" ht="20" customHeight="1">
      <c r="A27" s="13" t="inlineStr">
        <is>
          <t>超额收益最长回撤开始日期</t>
        </is>
      </c>
      <c r="B27" s="10" t="inlineStr">
        <is>
          <t>2024-02-05</t>
        </is>
      </c>
    </row>
    <row r="28" ht="20" customHeight="1">
      <c r="A28" s="13" t="inlineStr">
        <is>
          <t>超额收益最长回撤结束日期</t>
        </is>
      </c>
      <c r="B28" s="10" t="inlineStr">
        <is>
          <t>2024-05-15</t>
        </is>
      </c>
    </row>
    <row r="29" ht="20" customHeight="1">
      <c r="A29" s="13" t="inlineStr">
        <is>
          <t>超额收益最长回撤持续天数</t>
        </is>
      </c>
      <c r="B29" s="3" t="n">
        <v>100</v>
      </c>
    </row>
    <row r="30" ht="20" customHeight="1">
      <c r="A30" s="14" t="inlineStr">
        <is>
          <t>超额收益（几何）</t>
        </is>
      </c>
      <c r="B30" s="5" t="n">
        <v>0.1082822553562894</v>
      </c>
    </row>
    <row r="31" ht="20" customHeight="1">
      <c r="A31" s="14" t="inlineStr">
        <is>
          <t>超额收益（算术）</t>
        </is>
      </c>
      <c r="B31" s="5" t="n">
        <v>0.1092462900211639</v>
      </c>
    </row>
    <row r="32" ht="20" customHeight="1">
      <c r="A32" s="14" t="inlineStr">
        <is>
          <t>年化超额收益（几何）</t>
        </is>
      </c>
      <c r="B32" s="5" t="n">
        <v>0.2478720253392721</v>
      </c>
    </row>
    <row r="33" ht="20" customHeight="1">
      <c r="A33" s="14" t="inlineStr">
        <is>
          <t>阿尔法</t>
        </is>
      </c>
      <c r="B33" s="27" t="n">
        <v>0.2530412510110972</v>
      </c>
    </row>
    <row r="34" ht="20" customHeight="1">
      <c r="A34" s="14" t="inlineStr">
        <is>
          <t>贝塔</t>
        </is>
      </c>
      <c r="B34" s="27" t="n">
        <v>0.6781964382322576</v>
      </c>
    </row>
    <row r="35" ht="20" customHeight="1">
      <c r="A35" s="14" t="inlineStr">
        <is>
          <t>信息比率</t>
        </is>
      </c>
      <c r="B35" s="27" t="n">
        <v>2.058001054870865</v>
      </c>
    </row>
    <row r="36" ht="20" customHeight="1">
      <c r="A36" s="14" t="inlineStr">
        <is>
          <t>超额收益夏普率</t>
        </is>
      </c>
      <c r="B36" s="27" t="n">
        <v>1.669988720130489</v>
      </c>
    </row>
    <row r="37" ht="20" customHeight="1">
      <c r="A37" s="14" t="inlineStr">
        <is>
          <t>超额收益率年化波动率</t>
        </is>
      </c>
      <c r="B37" s="5" t="n">
        <v>0.1340356428066752</v>
      </c>
    </row>
    <row r="38" ht="20" customHeight="1">
      <c r="A38" s="14" t="inlineStr">
        <is>
          <t>超额收益最大回撤（几何）</t>
        </is>
      </c>
      <c r="B38" s="5" t="n">
        <v>0.07784415974766677</v>
      </c>
    </row>
    <row r="39" ht="20" customHeight="1">
      <c r="A39" s="14" t="inlineStr">
        <is>
          <t>超额收益月度胜率</t>
        </is>
      </c>
      <c r="B39" s="5" t="n">
        <v>0.6666666666666666</v>
      </c>
    </row>
    <row r="40" ht="20" customHeight="1">
      <c r="A40" s="14" t="inlineStr">
        <is>
          <t>跟踪误差</t>
        </is>
      </c>
      <c r="B40" s="5" t="n">
        <v>0.1340356428066752</v>
      </c>
    </row>
    <row r="41" ht="20" customHeight="1">
      <c r="A41" s="13" t="inlineStr">
        <is>
          <t>周度阿尔法</t>
        </is>
      </c>
      <c r="B41" s="28" t="n">
        <v>0.2429736611994344</v>
      </c>
    </row>
    <row r="42" ht="20" customHeight="1">
      <c r="A42" s="13" t="inlineStr">
        <is>
          <t>周度贝塔</t>
        </is>
      </c>
      <c r="B42" s="28" t="n">
        <v>0.8111475795477461</v>
      </c>
    </row>
    <row r="43" ht="20" customHeight="1">
      <c r="A43" s="13" t="inlineStr">
        <is>
          <t>周度夏普率</t>
        </is>
      </c>
      <c r="B43" s="28" t="n">
        <v>1.370813878825866</v>
      </c>
    </row>
    <row r="44" ht="20" customHeight="1">
      <c r="A44" s="13" t="inlineStr">
        <is>
          <t>周度索提诺</t>
        </is>
      </c>
      <c r="B44" s="28" t="n">
        <v>2.086995293290992</v>
      </c>
    </row>
    <row r="45" ht="20" customHeight="1">
      <c r="A45" s="13" t="inlineStr">
        <is>
          <t>周度信息比率</t>
        </is>
      </c>
      <c r="B45" s="28" t="n">
        <v>2.258094924758751</v>
      </c>
    </row>
    <row r="46" ht="20" customHeight="1">
      <c r="A46" s="13" t="inlineStr">
        <is>
          <t>周度跟踪误差</t>
        </is>
      </c>
      <c r="B46" s="7" t="n">
        <v>0.1129610892507226</v>
      </c>
    </row>
    <row r="47" ht="20" customHeight="1">
      <c r="A47" s="13" t="inlineStr">
        <is>
          <t>周度最大回撤</t>
        </is>
      </c>
      <c r="B47" s="7" t="n">
        <v>0.0679589246567437</v>
      </c>
    </row>
    <row r="48" ht="20" customHeight="1">
      <c r="A48" s="13" t="inlineStr">
        <is>
          <t>周度累计回撤深度</t>
        </is>
      </c>
      <c r="B48" s="28" t="n">
        <v>3.108632952202137</v>
      </c>
    </row>
    <row r="49" ht="20" customHeight="1">
      <c r="A49" s="13" t="inlineStr">
        <is>
          <t>周度累计回撤夏普率</t>
        </is>
      </c>
      <c r="B49" s="28" t="n">
        <v>0.03493715914141787</v>
      </c>
    </row>
    <row r="50" ht="20" customHeight="1">
      <c r="A50" s="13" t="inlineStr">
        <is>
          <t>周度超额累计回撤深度</t>
        </is>
      </c>
      <c r="B50" s="28" t="n">
        <v>3.598018967246784</v>
      </c>
    </row>
    <row r="51" ht="20" customHeight="1">
      <c r="A51" s="13" t="inlineStr">
        <is>
          <t>周度超额累计回撤夏普率</t>
        </is>
      </c>
      <c r="B51" s="28" t="n">
        <v>0.02682929967944492</v>
      </c>
    </row>
    <row r="52" ht="20" customHeight="1">
      <c r="A52" s="15" t="inlineStr">
        <is>
          <t>周度胜率</t>
        </is>
      </c>
      <c r="B52" s="11" t="n">
        <v>0.52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topLeftCell="J1" zoomScaleNormal="100" workbookViewId="0">
      <selection activeCell="R7" sqref="R7"/>
    </sheetView>
  </sheetViews>
  <sheetFormatPr baseColWidth="10" defaultColWidth="10.83203125" defaultRowHeight="17"/>
  <cols>
    <col width="12.6640625" customWidth="1" style="2" min="1" max="1"/>
    <col width="24.6640625" customWidth="1" style="2" min="2" max="12"/>
    <col width="13" customWidth="1" min="13" max="14"/>
    <col width="24.6640625" customWidth="1" style="2" min="15" max="18"/>
    <col width="10.83203125" customWidth="1" style="2" min="19" max="19"/>
    <col width="10.83203125" customWidth="1" style="2" min="20" max="16384"/>
  </cols>
  <sheetData>
    <row r="1" ht="20" customHeight="1">
      <c r="A1" s="21" t="inlineStr">
        <is>
          <t>年份</t>
        </is>
      </c>
      <c r="B1" s="21" t="inlineStr">
        <is>
          <t>收益率</t>
        </is>
      </c>
      <c r="C1" s="21" t="inlineStr">
        <is>
          <t>基准收益率</t>
        </is>
      </c>
      <c r="D1" s="21" t="inlineStr">
        <is>
          <t>超额收益率（几何）</t>
        </is>
      </c>
      <c r="E1" s="21" t="inlineStr">
        <is>
          <t>收益最大回撤</t>
        </is>
      </c>
      <c r="F1" s="21" t="inlineStr">
        <is>
          <t>最大回撤持续时间</t>
        </is>
      </c>
      <c r="G1" s="21" t="inlineStr">
        <is>
          <t>超额最大回撤（几何）</t>
        </is>
      </c>
      <c r="H1" s="21" t="inlineStr">
        <is>
          <t>超额最大回撤持续时间</t>
        </is>
      </c>
      <c r="I1" s="21" t="inlineStr">
        <is>
          <t>超额收益年化波动率</t>
        </is>
      </c>
      <c r="J1" s="21" t="inlineStr">
        <is>
          <t>绝对收益年化波动率</t>
        </is>
      </c>
      <c r="K1" s="21" t="inlineStr">
        <is>
          <t>夏普比率</t>
        </is>
      </c>
      <c r="L1" s="21" t="inlineStr">
        <is>
          <t>超额夏普比率</t>
        </is>
      </c>
      <c r="M1" s="21" t="inlineStr">
        <is>
          <t>信息比率</t>
        </is>
      </c>
      <c r="N1" s="21" t="inlineStr">
        <is>
          <t>年化双边换手倍数</t>
        </is>
      </c>
      <c r="O1" s="21" t="inlineStr">
        <is>
          <t>跟踪误差</t>
        </is>
      </c>
      <c r="P1" s="21" t="inlineStr">
        <is>
          <t>超额收益周胜率</t>
        </is>
      </c>
      <c r="Q1" s="21" t="inlineStr">
        <is>
          <t>超额收益月胜率</t>
        </is>
      </c>
      <c r="R1" s="21" t="inlineStr">
        <is>
          <t>阿尔法</t>
        </is>
      </c>
      <c r="S1" s="21" t="inlineStr">
        <is>
          <t>贝塔</t>
        </is>
      </c>
    </row>
    <row r="2" ht="20" customHeight="1">
      <c r="A2" s="16" t="n">
        <v>2024</v>
      </c>
      <c r="B2" s="17" t="n">
        <v>0.1181490000000007</v>
      </c>
      <c r="C2" s="17" t="n">
        <v>0.008902979178837287</v>
      </c>
      <c r="D2" s="17" t="n">
        <v>0.1082819885318216</v>
      </c>
      <c r="E2" s="17" t="n">
        <v>0.08085975780557093</v>
      </c>
      <c r="F2" s="30" t="n">
        <v>27</v>
      </c>
      <c r="G2" s="17" t="n">
        <v>0.07784370474046563</v>
      </c>
      <c r="H2" s="31" t="n">
        <v>44</v>
      </c>
      <c r="I2" s="17" t="n">
        <v>0.1340357107447407</v>
      </c>
      <c r="J2" s="17" t="n">
        <v>0.1592132950938827</v>
      </c>
      <c r="K2" s="32" t="n">
        <v>1.477661447824449</v>
      </c>
      <c r="L2" s="32" t="n">
        <v>1.66998438530443</v>
      </c>
      <c r="M2" s="32" t="n">
        <v>2.057992504805858</v>
      </c>
      <c r="N2" s="32" t="n">
        <v>32.31037769243485</v>
      </c>
      <c r="O2" s="17" t="n">
        <v>0.1340357107447407</v>
      </c>
      <c r="P2" s="17" t="n">
        <v>0.64</v>
      </c>
      <c r="Q2" s="17" t="n">
        <v>0.6666666666666666</v>
      </c>
      <c r="R2" s="17" t="n">
        <v>0.2530405889254962</v>
      </c>
      <c r="S2" s="17" t="n">
        <v>0.6781985173589232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Normal="100" workbookViewId="0">
      <selection activeCell="C12" sqref="C12"/>
    </sheetView>
  </sheetViews>
  <sheetFormatPr baseColWidth="10" defaultColWidth="10.83203125" defaultRowHeight="18"/>
  <cols>
    <col width="10.83203125" customWidth="1" style="22" min="1" max="1"/>
    <col width="16.6640625" customWidth="1" style="22" min="2" max="14"/>
    <col width="10.83203125" customWidth="1" style="22" min="15" max="15"/>
    <col width="10.83203125" customWidth="1" style="22" min="16" max="16384"/>
  </cols>
  <sheetData>
    <row r="1" ht="20" customHeight="1">
      <c r="A1" s="21" t="n"/>
      <c r="B1" s="21" t="inlineStr">
        <is>
          <t>一月</t>
        </is>
      </c>
      <c r="C1" s="21" t="inlineStr">
        <is>
          <t>二月</t>
        </is>
      </c>
      <c r="D1" s="21" t="inlineStr">
        <is>
          <t>三月</t>
        </is>
      </c>
      <c r="E1" s="21" t="inlineStr">
        <is>
          <t>四月</t>
        </is>
      </c>
      <c r="F1" s="21" t="inlineStr">
        <is>
          <t>五月</t>
        </is>
      </c>
      <c r="G1" s="21" t="inlineStr">
        <is>
          <t>六月</t>
        </is>
      </c>
      <c r="H1" s="21" t="inlineStr">
        <is>
          <t>七月</t>
        </is>
      </c>
      <c r="I1" s="21" t="inlineStr">
        <is>
          <t>八月</t>
        </is>
      </c>
      <c r="J1" s="21" t="inlineStr">
        <is>
          <t>九月</t>
        </is>
      </c>
      <c r="K1" s="21" t="inlineStr">
        <is>
          <t>十月</t>
        </is>
      </c>
      <c r="L1" s="21" t="inlineStr">
        <is>
          <t>十一月</t>
        </is>
      </c>
      <c r="M1" s="21" t="inlineStr">
        <is>
          <t>十二月</t>
        </is>
      </c>
      <c r="N1" s="21" t="inlineStr">
        <is>
          <t>年度加总</t>
        </is>
      </c>
    </row>
    <row r="2" ht="20" customHeight="1">
      <c r="A2" s="22" t="n">
        <v>2024</v>
      </c>
      <c r="B2" s="23" t="n">
        <v>0.01990000000000025</v>
      </c>
      <c r="C2" s="23" t="n">
        <v>0.05661045200509873</v>
      </c>
      <c r="D2" s="23" t="n">
        <v>-0.01687674049795973</v>
      </c>
      <c r="E2" s="23" t="n">
        <v>0.05386379725329227</v>
      </c>
      <c r="F2" s="23" t="n">
        <v>0.0330958087479265</v>
      </c>
      <c r="G2" s="23" t="n">
        <v>-0.03061983514063626</v>
      </c>
      <c r="H2" s="23" t="n">
        <v/>
      </c>
      <c r="I2" s="23" t="n">
        <v/>
      </c>
      <c r="J2" s="23" t="n">
        <v/>
      </c>
      <c r="K2" s="23" t="n">
        <v/>
      </c>
      <c r="L2" s="23" t="n">
        <v/>
      </c>
      <c r="M2" s="23" t="n">
        <v/>
      </c>
      <c r="N2" s="23" t="n">
        <v>0.1181490000000016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D24" sqref="D24"/>
    </sheetView>
  </sheetViews>
  <sheetFormatPr baseColWidth="10" defaultColWidth="10.83203125" defaultRowHeight="18"/>
  <cols>
    <col width="10.83203125" customWidth="1" style="22" min="1" max="1"/>
    <col width="16.6640625" customWidth="1" style="22" min="2" max="14"/>
    <col width="10.83203125" customWidth="1" style="22" min="15" max="15"/>
    <col width="10.83203125" customWidth="1" style="22" min="16" max="16384"/>
  </cols>
  <sheetData>
    <row r="1" ht="20" customHeight="1">
      <c r="A1" s="21" t="n"/>
      <c r="B1" s="21" t="inlineStr">
        <is>
          <t>一月</t>
        </is>
      </c>
      <c r="C1" s="21" t="inlineStr">
        <is>
          <t>二月</t>
        </is>
      </c>
      <c r="D1" s="21" t="inlineStr">
        <is>
          <t>三月</t>
        </is>
      </c>
      <c r="E1" s="21" t="inlineStr">
        <is>
          <t>四月</t>
        </is>
      </c>
      <c r="F1" s="21" t="inlineStr">
        <is>
          <t>五月</t>
        </is>
      </c>
      <c r="G1" s="21" t="inlineStr">
        <is>
          <t>六月</t>
        </is>
      </c>
      <c r="H1" s="21" t="inlineStr">
        <is>
          <t>七月</t>
        </is>
      </c>
      <c r="I1" s="21" t="inlineStr">
        <is>
          <t>八月</t>
        </is>
      </c>
      <c r="J1" s="21" t="inlineStr">
        <is>
          <t>九月</t>
        </is>
      </c>
      <c r="K1" s="21" t="inlineStr">
        <is>
          <t>十月</t>
        </is>
      </c>
      <c r="L1" s="21" t="inlineStr">
        <is>
          <t>十一月</t>
        </is>
      </c>
      <c r="M1" s="21" t="inlineStr">
        <is>
          <t>十二月</t>
        </is>
      </c>
      <c r="N1" s="21" t="inlineStr">
        <is>
          <t>年度加总</t>
        </is>
      </c>
    </row>
    <row r="2" ht="20" customHeight="1">
      <c r="A2" s="22" t="n">
        <v>2024</v>
      </c>
      <c r="B2" s="23" t="n">
        <v>0.08833782574273852</v>
      </c>
      <c r="C2" s="23" t="n">
        <v>-0.03376151665111393</v>
      </c>
      <c r="D2" s="23" t="n">
        <v>-0.02282461398050373</v>
      </c>
      <c r="E2" s="23" t="n">
        <v>0.03430044740718374</v>
      </c>
      <c r="F2" s="23" t="n">
        <v>0.04015725370003276</v>
      </c>
      <c r="G2" s="23" t="n">
        <v>0.002499091004714904</v>
      </c>
      <c r="H2" s="23" t="n">
        <v/>
      </c>
      <c r="I2" s="23" t="n">
        <v/>
      </c>
      <c r="J2" s="23" t="n">
        <v/>
      </c>
      <c r="K2" s="23" t="n">
        <v/>
      </c>
      <c r="L2" s="23" t="n">
        <v/>
      </c>
      <c r="M2" s="23" t="n">
        <v/>
      </c>
      <c r="N2" s="23" t="n">
        <v>0.1082819885318225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C8" sqref="C8"/>
    </sheetView>
  </sheetViews>
  <sheetFormatPr baseColWidth="10" defaultColWidth="9.1640625" defaultRowHeight="18"/>
  <cols>
    <col width="14.6640625" customWidth="1" style="22" min="1" max="2"/>
    <col width="10.6640625" customWidth="1" style="22" min="3" max="9"/>
    <col width="9.1640625" customWidth="1" style="22" min="10" max="10"/>
    <col width="9.1640625" customWidth="1" style="22" min="11" max="16384"/>
  </cols>
  <sheetData>
    <row r="1">
      <c r="A1" s="21" t="inlineStr">
        <is>
          <t>日期</t>
        </is>
      </c>
      <c r="B1" s="21" t="inlineStr">
        <is>
          <t>持仓总个数</t>
        </is>
      </c>
      <c r="C1" s="21" t="inlineStr">
        <is>
          <t>mean</t>
        </is>
      </c>
      <c r="D1" s="21" t="inlineStr">
        <is>
          <t>std</t>
        </is>
      </c>
      <c r="E1" s="21" t="inlineStr">
        <is>
          <t>min</t>
        </is>
      </c>
      <c r="F1" s="26" t="inlineStr">
        <is>
          <t>25%</t>
        </is>
      </c>
      <c r="G1" s="26" t="inlineStr">
        <is>
          <t>50%</t>
        </is>
      </c>
      <c r="H1" s="26" t="inlineStr">
        <is>
          <t>75%</t>
        </is>
      </c>
      <c r="I1" s="21" t="inlineStr">
        <is>
          <t>max</t>
        </is>
      </c>
    </row>
    <row r="2">
      <c r="A2" s="33" t="n">
        <v>45293</v>
      </c>
      <c r="B2" s="34" t="n">
        <v>2</v>
      </c>
      <c r="C2" s="23" t="n">
        <v>0.5</v>
      </c>
      <c r="D2" s="23" t="n">
        <v>0.0245213369485521</v>
      </c>
      <c r="E2" s="23" t="n">
        <v>0.4826607963599186</v>
      </c>
      <c r="F2" s="23" t="n">
        <v>0.4913303981799593</v>
      </c>
      <c r="G2" s="23" t="n">
        <v>0.5</v>
      </c>
      <c r="H2" s="23" t="n">
        <v>0.5086696018200407</v>
      </c>
      <c r="I2" s="23" t="n">
        <v>0.5173392036400815</v>
      </c>
    </row>
    <row r="3">
      <c r="A3" s="33" t="n">
        <v>45294</v>
      </c>
      <c r="B3" s="34" t="n">
        <v>2</v>
      </c>
      <c r="C3" s="23" t="n">
        <v>0.5</v>
      </c>
      <c r="D3" s="23" t="n">
        <v>0.02397597553095689</v>
      </c>
      <c r="E3" s="23" t="n">
        <v>0.4830464251164976</v>
      </c>
      <c r="F3" s="23" t="n">
        <v>0.4915232125582488</v>
      </c>
      <c r="G3" s="23" t="n">
        <v>0.5</v>
      </c>
      <c r="H3" s="23" t="n">
        <v>0.5084767874417512</v>
      </c>
      <c r="I3" s="23" t="n">
        <v>0.5169535748835024</v>
      </c>
    </row>
    <row r="4">
      <c r="A4" s="33" t="n">
        <v>45295</v>
      </c>
      <c r="B4" s="34" t="n">
        <v>2</v>
      </c>
      <c r="C4" s="23" t="n">
        <v>0.5</v>
      </c>
      <c r="D4" s="23" t="n">
        <v>0.01821563147188633</v>
      </c>
      <c r="E4" s="23" t="n">
        <v>0.4871196034626341</v>
      </c>
      <c r="F4" s="23" t="n">
        <v>0.4935598017313171</v>
      </c>
      <c r="G4" s="23" t="n">
        <v>0.5</v>
      </c>
      <c r="H4" s="23" t="n">
        <v>0.506440198268683</v>
      </c>
      <c r="I4" s="23" t="n">
        <v>0.5128803965373659</v>
      </c>
    </row>
    <row r="5">
      <c r="A5" s="33" t="n">
        <v>45296</v>
      </c>
      <c r="B5" s="34" t="n">
        <v>2</v>
      </c>
      <c r="C5" s="23" t="n">
        <v>0.5</v>
      </c>
      <c r="D5" s="23" t="n">
        <v>0.01097174742977091</v>
      </c>
      <c r="E5" s="23" t="n">
        <v>0.4922418029909429</v>
      </c>
      <c r="F5" s="23" t="n">
        <v>0.4961209014954715</v>
      </c>
      <c r="G5" s="23" t="n">
        <v>0.5</v>
      </c>
      <c r="H5" s="23" t="n">
        <v>0.5038790985045286</v>
      </c>
      <c r="I5" s="23" t="n">
        <v>0.5077581970090571</v>
      </c>
    </row>
    <row r="6">
      <c r="A6" s="33" t="n">
        <v>45299</v>
      </c>
      <c r="B6" s="34" t="n">
        <v>2</v>
      </c>
      <c r="C6" s="23" t="n">
        <v>0.5</v>
      </c>
      <c r="D6" s="23" t="n">
        <v>0.008836112945910633</v>
      </c>
      <c r="E6" s="23" t="n">
        <v>0.4937519246166164</v>
      </c>
      <c r="F6" s="23" t="n">
        <v>0.4968759623083082</v>
      </c>
      <c r="G6" s="23" t="n">
        <v>0.5</v>
      </c>
      <c r="H6" s="23" t="n">
        <v>0.5031240376916919</v>
      </c>
      <c r="I6" s="23" t="n">
        <v>0.5062480753833837</v>
      </c>
    </row>
    <row r="7">
      <c r="A7" s="33" t="n">
        <v>45300</v>
      </c>
      <c r="B7" s="34" t="n">
        <v>2</v>
      </c>
      <c r="C7" s="23" t="n">
        <v>0.5</v>
      </c>
      <c r="D7" s="23" t="n">
        <v>0.0002231100310819467</v>
      </c>
      <c r="E7" s="23" t="n">
        <v>0.4998422373840712</v>
      </c>
      <c r="F7" s="23" t="n">
        <v>0.4999211186920356</v>
      </c>
      <c r="G7" s="23" t="n">
        <v>0.5</v>
      </c>
      <c r="H7" s="23" t="n">
        <v>0.5000788813079644</v>
      </c>
      <c r="I7" s="23" t="n">
        <v>0.5001577626159288</v>
      </c>
    </row>
    <row r="8">
      <c r="A8" s="33" t="n">
        <v>45301</v>
      </c>
      <c r="B8" s="34" t="n">
        <v>2</v>
      </c>
      <c r="C8" s="23" t="n">
        <v>0.5</v>
      </c>
      <c r="D8" s="23" t="n">
        <v>0.0008598138210097621</v>
      </c>
      <c r="E8" s="23" t="n">
        <v>0.4993920198166061</v>
      </c>
      <c r="F8" s="23" t="n">
        <v>0.499696009908303</v>
      </c>
      <c r="G8" s="23" t="n">
        <v>0.5</v>
      </c>
      <c r="H8" s="23" t="n">
        <v>0.500303990091697</v>
      </c>
      <c r="I8" s="23" t="n">
        <v>0.5006079801833939</v>
      </c>
    </row>
    <row r="9">
      <c r="A9" s="33" t="n">
        <v>45302</v>
      </c>
      <c r="B9" s="34" t="n">
        <v>2</v>
      </c>
      <c r="C9" s="23" t="n">
        <v>0.5</v>
      </c>
      <c r="D9" s="23" t="n">
        <v>0.007153856051709381</v>
      </c>
      <c r="E9" s="23" t="n">
        <v>0.4949414598742038</v>
      </c>
      <c r="F9" s="23" t="n">
        <v>0.4974707299371019</v>
      </c>
      <c r="G9" s="23" t="n">
        <v>0.5</v>
      </c>
      <c r="H9" s="23" t="n">
        <v>0.502529270062898</v>
      </c>
      <c r="I9" s="23" t="n">
        <v>0.5050585401257961</v>
      </c>
    </row>
    <row r="10">
      <c r="A10" s="33" t="n">
        <v>45303</v>
      </c>
      <c r="B10" s="34" t="n">
        <v>2</v>
      </c>
      <c r="C10" s="23" t="n">
        <v>0.5</v>
      </c>
      <c r="D10" s="23" t="n">
        <v>0.0107689542723945</v>
      </c>
      <c r="E10" s="23" t="n">
        <v>0.492385199407702</v>
      </c>
      <c r="F10" s="23" t="n">
        <v>0.496192599703851</v>
      </c>
      <c r="G10" s="23" t="n">
        <v>0.5</v>
      </c>
      <c r="H10" s="23" t="n">
        <v>0.503807400296149</v>
      </c>
      <c r="I10" s="23" t="n">
        <v>0.507614800592298</v>
      </c>
    </row>
    <row r="11">
      <c r="A11" s="33" t="n">
        <v>45306</v>
      </c>
      <c r="B11" s="34" t="n">
        <v>2</v>
      </c>
      <c r="C11" s="23" t="n">
        <v>0.5</v>
      </c>
      <c r="D11" s="23" t="n">
        <v>0.01306260987659605</v>
      </c>
      <c r="E11" s="23" t="n">
        <v>0.4907633399762646</v>
      </c>
      <c r="F11" s="23" t="n">
        <v>0.4953816699881323</v>
      </c>
      <c r="G11" s="23" t="n">
        <v>0.5</v>
      </c>
      <c r="H11" s="23" t="n">
        <v>0.5046183300118677</v>
      </c>
      <c r="I11" s="23" t="n">
        <v>0.5092366600237355</v>
      </c>
    </row>
    <row r="12">
      <c r="A12" s="33" t="n">
        <v>45307</v>
      </c>
      <c r="B12" s="34" t="n">
        <v>2</v>
      </c>
      <c r="C12" s="23" t="n">
        <v>0.5</v>
      </c>
      <c r="D12" s="23" t="n">
        <v>0.01461780302840466</v>
      </c>
      <c r="E12" s="23" t="n">
        <v>0.4896636523525658</v>
      </c>
      <c r="F12" s="23" t="n">
        <v>0.4948318261762829</v>
      </c>
      <c r="G12" s="23" t="n">
        <v>0.5</v>
      </c>
      <c r="H12" s="23" t="n">
        <v>0.505168173823717</v>
      </c>
      <c r="I12" s="23" t="n">
        <v>0.5103363476474342</v>
      </c>
    </row>
    <row r="13">
      <c r="A13" s="33" t="n">
        <v>45308</v>
      </c>
      <c r="B13" s="34" t="n">
        <v>2</v>
      </c>
      <c r="C13" s="23" t="n">
        <v>0.5</v>
      </c>
      <c r="D13" s="23" t="n">
        <v>0.0001659422369477916</v>
      </c>
      <c r="E13" s="23" t="n">
        <v>0.499882661118969</v>
      </c>
      <c r="F13" s="23" t="n">
        <v>0.4999413305594845</v>
      </c>
      <c r="G13" s="23" t="n">
        <v>0.5</v>
      </c>
      <c r="H13" s="23" t="n">
        <v>0.5000586694405156</v>
      </c>
      <c r="I13" s="23" t="n">
        <v>0.500117338881031</v>
      </c>
    </row>
    <row r="14">
      <c r="A14" s="33" t="n">
        <v>45309</v>
      </c>
      <c r="B14" s="34" t="n">
        <v>2</v>
      </c>
      <c r="C14" s="23" t="n">
        <v>0.5</v>
      </c>
      <c r="D14" s="23" t="n">
        <v>0.002986511673272977</v>
      </c>
      <c r="E14" s="23" t="n">
        <v>0.4978882173437359</v>
      </c>
      <c r="F14" s="23" t="n">
        <v>0.4989441086718679</v>
      </c>
      <c r="G14" s="23" t="n">
        <v>0.5</v>
      </c>
      <c r="H14" s="23" t="n">
        <v>0.501055891328132</v>
      </c>
      <c r="I14" s="23" t="n">
        <v>0.5021117826562641</v>
      </c>
    </row>
    <row r="15">
      <c r="A15" s="33" t="n">
        <v>45310</v>
      </c>
      <c r="B15" s="34" t="n">
        <v>2</v>
      </c>
      <c r="C15" s="23" t="n">
        <v>0.5</v>
      </c>
      <c r="D15" s="23" t="n">
        <v>0.006454786289276709</v>
      </c>
      <c r="E15" s="23" t="n">
        <v>0.4954357768437425</v>
      </c>
      <c r="F15" s="23" t="n">
        <v>0.4977178884218712</v>
      </c>
      <c r="G15" s="23" t="n">
        <v>0.5</v>
      </c>
      <c r="H15" s="23" t="n">
        <v>0.5022821115781287</v>
      </c>
      <c r="I15" s="23" t="n">
        <v>0.5045642231562575</v>
      </c>
    </row>
    <row r="16">
      <c r="A16" s="33" t="n">
        <v>45313</v>
      </c>
      <c r="B16" s="34" t="n">
        <v>2</v>
      </c>
      <c r="C16" s="23" t="n">
        <v>0.5</v>
      </c>
      <c r="D16" s="23" t="n">
        <v>0.001834958827686087</v>
      </c>
      <c r="E16" s="23" t="n">
        <v>0.4987024881697451</v>
      </c>
      <c r="F16" s="23" t="n">
        <v>0.4993512440848725</v>
      </c>
      <c r="G16" s="23" t="n">
        <v>0.5</v>
      </c>
      <c r="H16" s="23" t="n">
        <v>0.5006487559151275</v>
      </c>
      <c r="I16" s="23" t="n">
        <v>0.5012975118302549</v>
      </c>
    </row>
    <row r="17">
      <c r="A17" s="33" t="n">
        <v>45314</v>
      </c>
      <c r="B17" s="34" t="n">
        <v>2</v>
      </c>
      <c r="C17" s="23" t="n">
        <v>0.5</v>
      </c>
      <c r="D17" s="23" t="n">
        <v>0.001796610212614184</v>
      </c>
      <c r="E17" s="23" t="n">
        <v>0.4987296047355115</v>
      </c>
      <c r="F17" s="23" t="n">
        <v>0.4993648023677557</v>
      </c>
      <c r="G17" s="23" t="n">
        <v>0.5</v>
      </c>
      <c r="H17" s="23" t="n">
        <v>0.5006351976322442</v>
      </c>
      <c r="I17" s="23" t="n">
        <v>0.5012703952644885</v>
      </c>
    </row>
    <row r="18">
      <c r="A18" s="33" t="n">
        <v>45315</v>
      </c>
      <c r="B18" s="34" t="n">
        <v>2</v>
      </c>
      <c r="C18" s="23" t="n">
        <v>0.5</v>
      </c>
      <c r="D18" s="23" t="n">
        <v>0.007821367516002898</v>
      </c>
      <c r="E18" s="23" t="n">
        <v>0.4944694579912822</v>
      </c>
      <c r="F18" s="23" t="n">
        <v>0.4972347289956411</v>
      </c>
      <c r="G18" s="23" t="n">
        <v>0.5</v>
      </c>
      <c r="H18" s="23" t="n">
        <v>0.5027652710043589</v>
      </c>
      <c r="I18" s="23" t="n">
        <v>0.5055305420087178</v>
      </c>
    </row>
    <row r="19">
      <c r="A19" s="33" t="n">
        <v>45316</v>
      </c>
      <c r="B19" s="34" t="n">
        <v>2</v>
      </c>
      <c r="C19" s="23" t="n">
        <v>0.5</v>
      </c>
      <c r="D19" s="23" t="n">
        <v>0.006951786767129865</v>
      </c>
      <c r="E19" s="23" t="n">
        <v>0.4950843444355996</v>
      </c>
      <c r="F19" s="23" t="n">
        <v>0.4975421722177998</v>
      </c>
      <c r="G19" s="23" t="n">
        <v>0.5</v>
      </c>
      <c r="H19" s="23" t="n">
        <v>0.5024578277822003</v>
      </c>
      <c r="I19" s="23" t="n">
        <v>0.5049156555644004</v>
      </c>
    </row>
    <row r="20">
      <c r="A20" s="33" t="n">
        <v>45317</v>
      </c>
      <c r="B20" s="34" t="n">
        <v>2</v>
      </c>
      <c r="C20" s="23" t="n">
        <v>0.5</v>
      </c>
      <c r="D20" s="23" t="n">
        <v>0.005301761142966157</v>
      </c>
      <c r="E20" s="23" t="n">
        <v>0.4962510887435773</v>
      </c>
      <c r="F20" s="23" t="n">
        <v>0.4981255443717887</v>
      </c>
      <c r="G20" s="23" t="n">
        <v>0.5</v>
      </c>
      <c r="H20" s="23" t="n">
        <v>0.5018744556282114</v>
      </c>
      <c r="I20" s="23" t="n">
        <v>0.5037489112564227</v>
      </c>
    </row>
    <row r="21">
      <c r="A21" s="33" t="n">
        <v>45320</v>
      </c>
      <c r="B21" s="34" t="n">
        <v>2</v>
      </c>
      <c r="C21" s="23" t="n">
        <v>0.5</v>
      </c>
      <c r="D21" s="23" t="n">
        <v>0.0003766716106999903</v>
      </c>
      <c r="E21" s="23" t="n">
        <v>0.4997336529497936</v>
      </c>
      <c r="F21" s="23" t="n">
        <v>0.4998668264748968</v>
      </c>
      <c r="G21" s="23" t="n">
        <v>0.5</v>
      </c>
      <c r="H21" s="23" t="n">
        <v>0.5001331735251032</v>
      </c>
      <c r="I21" s="23" t="n">
        <v>0.5002663470502065</v>
      </c>
    </row>
    <row r="22">
      <c r="A22" s="33" t="n">
        <v>45321</v>
      </c>
      <c r="B22" s="34" t="n">
        <v>2</v>
      </c>
      <c r="C22" s="23" t="n">
        <v>0.5</v>
      </c>
      <c r="D22" s="23" t="n">
        <v>0.0005576939309827647</v>
      </c>
      <c r="E22" s="23" t="n">
        <v>0.4996056508395755</v>
      </c>
      <c r="F22" s="23" t="n">
        <v>0.4998028254197877</v>
      </c>
      <c r="G22" s="23" t="n">
        <v>0.5</v>
      </c>
      <c r="H22" s="23" t="n">
        <v>0.5001971745802122</v>
      </c>
      <c r="I22" s="23" t="n">
        <v>0.5003943491604245</v>
      </c>
    </row>
    <row r="23">
      <c r="A23" s="33" t="n">
        <v>45322</v>
      </c>
      <c r="B23" s="34" t="n">
        <v>2</v>
      </c>
      <c r="C23" s="23" t="n">
        <v>0.5</v>
      </c>
      <c r="D23" s="23" t="n">
        <v>0.002765294223759453</v>
      </c>
      <c r="E23" s="23" t="n">
        <v>0.4980446417024037</v>
      </c>
      <c r="F23" s="23" t="n">
        <v>0.4990223208512019</v>
      </c>
      <c r="G23" s="23" t="n">
        <v>0.5</v>
      </c>
      <c r="H23" s="23" t="n">
        <v>0.5009776791487981</v>
      </c>
      <c r="I23" s="23" t="n">
        <v>0.5019553582975963</v>
      </c>
    </row>
    <row r="24">
      <c r="A24" s="33" t="n">
        <v>45323</v>
      </c>
      <c r="B24" s="34" t="n">
        <v>2</v>
      </c>
      <c r="C24" s="23" t="n">
        <v>0.5</v>
      </c>
      <c r="D24" s="23" t="n">
        <v>0.004563412637856941</v>
      </c>
      <c r="E24" s="23" t="n">
        <v>0.496773179978419</v>
      </c>
      <c r="F24" s="23" t="n">
        <v>0.4983865899892095</v>
      </c>
      <c r="G24" s="23" t="n">
        <v>0.5</v>
      </c>
      <c r="H24" s="23" t="n">
        <v>0.5016134100107905</v>
      </c>
      <c r="I24" s="23" t="n">
        <v>0.503226820021581</v>
      </c>
    </row>
    <row r="25">
      <c r="A25" s="33" t="n">
        <v>45324</v>
      </c>
      <c r="B25" s="34" t="n">
        <v>2</v>
      </c>
      <c r="C25" s="23" t="n">
        <v>0.5</v>
      </c>
      <c r="D25" s="23" t="n">
        <v>0.008851827434745328</v>
      </c>
      <c r="E25" s="23" t="n">
        <v>0.4937408127949984</v>
      </c>
      <c r="F25" s="23" t="n">
        <v>0.4968704063974992</v>
      </c>
      <c r="G25" s="23" t="n">
        <v>0.5</v>
      </c>
      <c r="H25" s="23" t="n">
        <v>0.5031295936025008</v>
      </c>
      <c r="I25" s="23" t="n">
        <v>0.5062591872050015</v>
      </c>
    </row>
    <row r="26">
      <c r="A26" s="33" t="n">
        <v>45327</v>
      </c>
      <c r="B26" s="34" t="n">
        <v>2</v>
      </c>
      <c r="C26" s="23" t="n">
        <v>0.5</v>
      </c>
      <c r="D26" s="23" t="n">
        <v>0.005857497755127694</v>
      </c>
      <c r="E26" s="23" t="n">
        <v>0.4958581236165642</v>
      </c>
      <c r="F26" s="23" t="n">
        <v>0.4979290618082821</v>
      </c>
      <c r="G26" s="23" t="n">
        <v>0.5</v>
      </c>
      <c r="H26" s="23" t="n">
        <v>0.5020709381917179</v>
      </c>
      <c r="I26" s="23" t="n">
        <v>0.5041418763834358</v>
      </c>
    </row>
    <row r="27">
      <c r="A27" s="33" t="n">
        <v>45328</v>
      </c>
      <c r="B27" s="34" t="n">
        <v>2</v>
      </c>
      <c r="C27" s="23" t="n">
        <v>0.5</v>
      </c>
      <c r="D27" s="23" t="n">
        <v>0.002637061558804779</v>
      </c>
      <c r="E27" s="23" t="n">
        <v>0.4981353158893628</v>
      </c>
      <c r="F27" s="23" t="n">
        <v>0.4990676579446814</v>
      </c>
      <c r="G27" s="23" t="n">
        <v>0.5</v>
      </c>
      <c r="H27" s="23" t="n">
        <v>0.5009323420553187</v>
      </c>
      <c r="I27" s="23" t="n">
        <v>0.5018646841106372</v>
      </c>
    </row>
    <row r="28">
      <c r="A28" s="33" t="n">
        <v>45329</v>
      </c>
      <c r="B28" s="34" t="n">
        <v>2</v>
      </c>
      <c r="C28" s="23" t="n">
        <v>0.5</v>
      </c>
      <c r="D28" s="23" t="n">
        <v>0.009770083269515851</v>
      </c>
      <c r="E28" s="23" t="n">
        <v>0.4930915078673681</v>
      </c>
      <c r="F28" s="23" t="n">
        <v>0.4965457539336841</v>
      </c>
      <c r="G28" s="23" t="n">
        <v>0.5</v>
      </c>
      <c r="H28" s="23" t="n">
        <v>0.5034542460663159</v>
      </c>
      <c r="I28" s="23" t="n">
        <v>0.5069084921326319</v>
      </c>
    </row>
    <row r="29">
      <c r="A29" s="33" t="n">
        <v>45330</v>
      </c>
      <c r="B29" s="34" t="n">
        <v>2</v>
      </c>
      <c r="C29" s="23" t="n">
        <v>0.5</v>
      </c>
      <c r="D29" s="23" t="n">
        <v>0.012076040048001</v>
      </c>
      <c r="E29" s="23" t="n">
        <v>0.4914609501921782</v>
      </c>
      <c r="F29" s="23" t="n">
        <v>0.4957304750960891</v>
      </c>
      <c r="G29" s="23" t="n">
        <v>0.5</v>
      </c>
      <c r="H29" s="23" t="n">
        <v>0.5042695249039109</v>
      </c>
      <c r="I29" s="23" t="n">
        <v>0.5085390498078218</v>
      </c>
    </row>
    <row r="30">
      <c r="A30" s="33" t="n">
        <v>45341</v>
      </c>
      <c r="B30" s="34" t="n">
        <v>2</v>
      </c>
      <c r="C30" s="23" t="n">
        <v>0.5</v>
      </c>
      <c r="D30" s="23" t="n">
        <v>0.009194743417868545</v>
      </c>
      <c r="E30" s="23" t="n">
        <v>0.4934983345779548</v>
      </c>
      <c r="F30" s="23" t="n">
        <v>0.4967491672889774</v>
      </c>
      <c r="G30" s="23" t="n">
        <v>0.5</v>
      </c>
      <c r="H30" s="23" t="n">
        <v>0.5032508327110226</v>
      </c>
      <c r="I30" s="23" t="n">
        <v>0.5065016654220452</v>
      </c>
    </row>
    <row r="31">
      <c r="A31" s="33" t="n">
        <v>45342</v>
      </c>
      <c r="B31" s="34" t="n">
        <v>2</v>
      </c>
      <c r="C31" s="23" t="n">
        <v>0.5</v>
      </c>
      <c r="D31" s="23" t="n">
        <v>0.008505107850817928</v>
      </c>
      <c r="E31" s="23" t="n">
        <v>0.4939859805639637</v>
      </c>
      <c r="F31" s="23" t="n">
        <v>0.4969929902819819</v>
      </c>
      <c r="G31" s="23" t="n">
        <v>0.5</v>
      </c>
      <c r="H31" s="23" t="n">
        <v>0.5030070097180181</v>
      </c>
      <c r="I31" s="23" t="n">
        <v>0.5060140194360363</v>
      </c>
    </row>
    <row r="32">
      <c r="A32" s="33" t="n">
        <v>45343</v>
      </c>
      <c r="B32" s="34" t="n">
        <v>2</v>
      </c>
      <c r="C32" s="23" t="n">
        <v>0.5</v>
      </c>
      <c r="D32" s="23" t="n">
        <v>0.007035258631252522</v>
      </c>
      <c r="E32" s="23" t="n">
        <v>0.4950253209144401</v>
      </c>
      <c r="F32" s="23" t="n">
        <v>0.49751266045722</v>
      </c>
      <c r="G32" s="23" t="n">
        <v>0.5</v>
      </c>
      <c r="H32" s="23" t="n">
        <v>0.5024873395427799</v>
      </c>
      <c r="I32" s="23" t="n">
        <v>0.5049746790855598</v>
      </c>
    </row>
    <row r="33">
      <c r="A33" s="33" t="n">
        <v>45344</v>
      </c>
      <c r="B33" s="34" t="n">
        <v>2</v>
      </c>
      <c r="C33" s="23" t="n">
        <v>0.5</v>
      </c>
      <c r="D33" s="23" t="n">
        <v>0.00399510763585221</v>
      </c>
      <c r="E33" s="23" t="n">
        <v>0.4971750322991187</v>
      </c>
      <c r="F33" s="23" t="n">
        <v>0.4985875161495594</v>
      </c>
      <c r="G33" s="23" t="n">
        <v>0.5</v>
      </c>
      <c r="H33" s="23" t="n">
        <v>0.5014124838504406</v>
      </c>
      <c r="I33" s="23" t="n">
        <v>0.5028249677008813</v>
      </c>
    </row>
    <row r="34">
      <c r="A34" s="33" t="n">
        <v>45345</v>
      </c>
      <c r="B34" s="34" t="n">
        <v>2</v>
      </c>
      <c r="C34" s="23" t="n">
        <v>0.5</v>
      </c>
      <c r="D34" s="23" t="n">
        <v>0.002627441089710563</v>
      </c>
      <c r="E34" s="23" t="n">
        <v>0.4981421185882975</v>
      </c>
      <c r="F34" s="23" t="n">
        <v>0.4990710592941487</v>
      </c>
      <c r="G34" s="23" t="n">
        <v>0.5</v>
      </c>
      <c r="H34" s="23" t="n">
        <v>0.5009289407058513</v>
      </c>
      <c r="I34" s="23" t="n">
        <v>0.5018578814117025</v>
      </c>
    </row>
    <row r="35">
      <c r="A35" s="33" t="n">
        <v>45348</v>
      </c>
      <c r="B35" s="34" t="n">
        <v>2</v>
      </c>
      <c r="C35" s="23" t="n">
        <v>0.5</v>
      </c>
      <c r="D35" s="23" t="n">
        <v>0.00413687132488002</v>
      </c>
      <c r="E35" s="23" t="n">
        <v>0.4970747902332812</v>
      </c>
      <c r="F35" s="23" t="n">
        <v>0.4985373951166406</v>
      </c>
      <c r="G35" s="23" t="n">
        <v>0.5</v>
      </c>
      <c r="H35" s="23" t="n">
        <v>0.5014626048833595</v>
      </c>
      <c r="I35" s="23" t="n">
        <v>0.5029252097667188</v>
      </c>
    </row>
    <row r="36">
      <c r="A36" s="33" t="n">
        <v>45349</v>
      </c>
      <c r="B36" s="34" t="n">
        <v>2</v>
      </c>
      <c r="C36" s="23" t="n">
        <v>0.5</v>
      </c>
      <c r="D36" s="23" t="n">
        <v>0.001972042414688884</v>
      </c>
      <c r="E36" s="23" t="n">
        <v>0.498605555435786</v>
      </c>
      <c r="F36" s="23" t="n">
        <v>0.499302777717893</v>
      </c>
      <c r="G36" s="23" t="n">
        <v>0.5</v>
      </c>
      <c r="H36" s="23" t="n">
        <v>0.500697222282107</v>
      </c>
      <c r="I36" s="23" t="n">
        <v>0.501394444564214</v>
      </c>
    </row>
    <row r="37">
      <c r="A37" s="33" t="n">
        <v>45350</v>
      </c>
      <c r="B37" s="34" t="n">
        <v>2</v>
      </c>
      <c r="C37" s="23" t="n">
        <v>0.5</v>
      </c>
      <c r="D37" s="23" t="n">
        <v>0.005294238319381653</v>
      </c>
      <c r="E37" s="23" t="n">
        <v>0.4962564081831476</v>
      </c>
      <c r="F37" s="23" t="n">
        <v>0.4981282040915738</v>
      </c>
      <c r="G37" s="23" t="n">
        <v>0.5</v>
      </c>
      <c r="H37" s="23" t="n">
        <v>0.5018717959084262</v>
      </c>
      <c r="I37" s="23" t="n">
        <v>0.5037435918168525</v>
      </c>
    </row>
    <row r="38">
      <c r="A38" s="33" t="n">
        <v>45351</v>
      </c>
      <c r="B38" s="34" t="n">
        <v>2</v>
      </c>
      <c r="C38" s="23" t="n">
        <v>0.5</v>
      </c>
      <c r="D38" s="23" t="n">
        <v>0.006582207605856272</v>
      </c>
      <c r="E38" s="23" t="n">
        <v>0.4953456763667214</v>
      </c>
      <c r="F38" s="23" t="n">
        <v>0.4976728381833607</v>
      </c>
      <c r="G38" s="23" t="n">
        <v>0.5</v>
      </c>
      <c r="H38" s="23" t="n">
        <v>0.5023271618166394</v>
      </c>
      <c r="I38" s="23" t="n">
        <v>0.5046543236332787</v>
      </c>
    </row>
    <row r="39">
      <c r="A39" s="33" t="n">
        <v>45352</v>
      </c>
      <c r="B39" s="34" t="n">
        <v>2</v>
      </c>
      <c r="C39" s="23" t="n">
        <v>0.5</v>
      </c>
      <c r="D39" s="23" t="n">
        <v>0.0024870223626586</v>
      </c>
      <c r="E39" s="23" t="n">
        <v>0.4982414096224015</v>
      </c>
      <c r="F39" s="23" t="n">
        <v>0.4991207048112008</v>
      </c>
      <c r="G39" s="23" t="n">
        <v>0.5</v>
      </c>
      <c r="H39" s="23" t="n">
        <v>0.5008792951887993</v>
      </c>
      <c r="I39" s="23" t="n">
        <v>0.5017585903775985</v>
      </c>
    </row>
    <row r="40">
      <c r="A40" s="33" t="n">
        <v>45355</v>
      </c>
      <c r="B40" s="34" t="n">
        <v>2</v>
      </c>
      <c r="C40" s="23" t="n">
        <v>0.5</v>
      </c>
      <c r="D40" s="23" t="n">
        <v>0.002439337613307789</v>
      </c>
      <c r="E40" s="23" t="n">
        <v>0.4982751278320267</v>
      </c>
      <c r="F40" s="23" t="n">
        <v>0.4991375639160133</v>
      </c>
      <c r="G40" s="23" t="n">
        <v>0.5</v>
      </c>
      <c r="H40" s="23" t="n">
        <v>0.5008624360839866</v>
      </c>
      <c r="I40" s="23" t="n">
        <v>0.5017248721679733</v>
      </c>
    </row>
    <row r="41">
      <c r="A41" s="33" t="n">
        <v>45356</v>
      </c>
      <c r="B41" s="34" t="n">
        <v>2</v>
      </c>
      <c r="C41" s="23" t="n">
        <v>0.5</v>
      </c>
      <c r="D41" s="23" t="n">
        <v>0.001942434226114326</v>
      </c>
      <c r="E41" s="23" t="n">
        <v>0.4986264915867057</v>
      </c>
      <c r="F41" s="23" t="n">
        <v>0.4993132457933529</v>
      </c>
      <c r="G41" s="23" t="n">
        <v>0.5</v>
      </c>
      <c r="H41" s="23" t="n">
        <v>0.5006867542066472</v>
      </c>
      <c r="I41" s="23" t="n">
        <v>0.5013735084132943</v>
      </c>
    </row>
    <row r="42">
      <c r="A42" s="33" t="n">
        <v>45357</v>
      </c>
      <c r="B42" s="34" t="n">
        <v>2</v>
      </c>
      <c r="C42" s="23" t="n">
        <v>0.5</v>
      </c>
      <c r="D42" s="23" t="n">
        <v>0.001877775211656772</v>
      </c>
      <c r="E42" s="23" t="n">
        <v>0.4986722124142935</v>
      </c>
      <c r="F42" s="23" t="n">
        <v>0.4993361062071467</v>
      </c>
      <c r="G42" s="23" t="n">
        <v>0.5</v>
      </c>
      <c r="H42" s="23" t="n">
        <v>0.5006638937928533</v>
      </c>
      <c r="I42" s="23" t="n">
        <v>0.5013277875857065</v>
      </c>
    </row>
    <row r="43">
      <c r="A43" s="33" t="n">
        <v>45358</v>
      </c>
      <c r="B43" s="34" t="n">
        <v>2</v>
      </c>
      <c r="C43" s="23" t="n">
        <v>0.5</v>
      </c>
      <c r="D43" s="23" t="n">
        <v>0.004798700923880764</v>
      </c>
      <c r="E43" s="23" t="n">
        <v>0.4966068060358378</v>
      </c>
      <c r="F43" s="23" t="n">
        <v>0.4983034030179189</v>
      </c>
      <c r="G43" s="23" t="n">
        <v>0.5</v>
      </c>
      <c r="H43" s="23" t="n">
        <v>0.5016965969820811</v>
      </c>
      <c r="I43" s="23" t="n">
        <v>0.5033931939641623</v>
      </c>
    </row>
    <row r="44">
      <c r="A44" s="33" t="n">
        <v>45359</v>
      </c>
      <c r="B44" s="34" t="n">
        <v>2</v>
      </c>
      <c r="C44" s="23" t="n">
        <v>0.5</v>
      </c>
      <c r="D44" s="23" t="n">
        <v>0.003317723871884515</v>
      </c>
      <c r="E44" s="23" t="n">
        <v>0.497654014952086</v>
      </c>
      <c r="F44" s="23" t="n">
        <v>0.498827007476043</v>
      </c>
      <c r="G44" s="23" t="n">
        <v>0.5</v>
      </c>
      <c r="H44" s="23" t="n">
        <v>0.5011729925239571</v>
      </c>
      <c r="I44" s="23" t="n">
        <v>0.5023459850479141</v>
      </c>
    </row>
    <row r="45">
      <c r="A45" s="33" t="n">
        <v>45362</v>
      </c>
      <c r="B45" s="34" t="n">
        <v>2</v>
      </c>
      <c r="C45" s="23" t="n">
        <v>0.5</v>
      </c>
      <c r="D45" s="23" t="n">
        <v>0.00256660445367781</v>
      </c>
      <c r="E45" s="23" t="n">
        <v>0.4981851365861809</v>
      </c>
      <c r="F45" s="23" t="n">
        <v>0.4990925682930905</v>
      </c>
      <c r="G45" s="23" t="n">
        <v>0.5</v>
      </c>
      <c r="H45" s="23" t="n">
        <v>0.5009074317069097</v>
      </c>
      <c r="I45" s="23" t="n">
        <v>0.5018148634138192</v>
      </c>
    </row>
    <row r="46">
      <c r="A46" s="33" t="n">
        <v>45363</v>
      </c>
      <c r="B46" s="34" t="n">
        <v>2</v>
      </c>
      <c r="C46" s="23" t="n">
        <v>0.5</v>
      </c>
      <c r="D46" s="23" t="n">
        <v>0.004825290212874684</v>
      </c>
      <c r="E46" s="23" t="n">
        <v>0.4965880045692833</v>
      </c>
      <c r="F46" s="23" t="n">
        <v>0.4982940022846417</v>
      </c>
      <c r="G46" s="23" t="n">
        <v>0.5</v>
      </c>
      <c r="H46" s="23" t="n">
        <v>0.5017059977153584</v>
      </c>
      <c r="I46" s="23" t="n">
        <v>0.5034119954307168</v>
      </c>
    </row>
    <row r="47">
      <c r="A47" s="33" t="n">
        <v>45364</v>
      </c>
      <c r="B47" s="34" t="n">
        <v>2</v>
      </c>
      <c r="C47" s="23" t="n">
        <v>0.5</v>
      </c>
      <c r="D47" s="23" t="n">
        <v>0.001474993389846883</v>
      </c>
      <c r="E47" s="23" t="n">
        <v>0.498957022171834</v>
      </c>
      <c r="F47" s="23" t="n">
        <v>0.499478511085917</v>
      </c>
      <c r="G47" s="23" t="n">
        <v>0.5</v>
      </c>
      <c r="H47" s="23" t="n">
        <v>0.5005214889140831</v>
      </c>
      <c r="I47" s="23" t="n">
        <v>0.5010429778281661</v>
      </c>
    </row>
    <row r="48">
      <c r="A48" s="33" t="n">
        <v>45365</v>
      </c>
      <c r="B48" s="34" t="n">
        <v>2</v>
      </c>
      <c r="C48" s="23" t="n">
        <v>0.5</v>
      </c>
      <c r="D48" s="23" t="n">
        <v>0.000468270007527982</v>
      </c>
      <c r="E48" s="23" t="n">
        <v>0.4996688831022507</v>
      </c>
      <c r="F48" s="23" t="n">
        <v>0.4998344415511254</v>
      </c>
      <c r="G48" s="23" t="n">
        <v>0.5</v>
      </c>
      <c r="H48" s="23" t="n">
        <v>0.5001655584488747</v>
      </c>
      <c r="I48" s="23" t="n">
        <v>0.5003311168977493</v>
      </c>
    </row>
    <row r="49">
      <c r="A49" s="33" t="n">
        <v>45366</v>
      </c>
      <c r="B49" s="34" t="n">
        <v>2</v>
      </c>
      <c r="C49" s="23" t="n">
        <v>0.5</v>
      </c>
      <c r="D49" s="23" t="n">
        <v>0.011842397043893</v>
      </c>
      <c r="E49" s="23" t="n">
        <v>0.4916261607447597</v>
      </c>
      <c r="F49" s="23" t="n">
        <v>0.4958130803723799</v>
      </c>
      <c r="G49" s="23" t="n">
        <v>0.5</v>
      </c>
      <c r="H49" s="23" t="n">
        <v>0.5041869196276201</v>
      </c>
      <c r="I49" s="23" t="n">
        <v>0.5083738392552403</v>
      </c>
    </row>
    <row r="50">
      <c r="A50" s="33" t="n">
        <v>45369</v>
      </c>
      <c r="B50" s="34" t="n">
        <v>2</v>
      </c>
      <c r="C50" s="23" t="n">
        <v>0.5</v>
      </c>
      <c r="D50" s="23" t="n">
        <v>0.00917085977404015</v>
      </c>
      <c r="E50" s="23" t="n">
        <v>0.4935152228644653</v>
      </c>
      <c r="F50" s="23" t="n">
        <v>0.4967576114322327</v>
      </c>
      <c r="G50" s="23" t="n">
        <v>0.5</v>
      </c>
      <c r="H50" s="23" t="n">
        <v>0.5032423885677674</v>
      </c>
      <c r="I50" s="23" t="n">
        <v>0.5064847771355347</v>
      </c>
    </row>
    <row r="51">
      <c r="A51" s="33" t="n">
        <v>45370</v>
      </c>
      <c r="B51" s="34" t="n">
        <v>2</v>
      </c>
      <c r="C51" s="23" t="n">
        <v>0.5</v>
      </c>
      <c r="D51" s="23" t="n">
        <v>0.01055981424734906</v>
      </c>
      <c r="E51" s="23" t="n">
        <v>0.4925330837376292</v>
      </c>
      <c r="F51" s="23" t="n">
        <v>0.4962665418688146</v>
      </c>
      <c r="G51" s="23" t="n">
        <v>0.5</v>
      </c>
      <c r="H51" s="23" t="n">
        <v>0.5037334581311854</v>
      </c>
      <c r="I51" s="23" t="n">
        <v>0.5074669162623708</v>
      </c>
    </row>
    <row r="52">
      <c r="A52" s="33" t="n">
        <v>45371</v>
      </c>
      <c r="B52" s="34" t="n">
        <v>2</v>
      </c>
      <c r="C52" s="23" t="n">
        <v>0.5</v>
      </c>
      <c r="D52" s="23" t="n">
        <v>0.00639238942631039</v>
      </c>
      <c r="E52" s="23" t="n">
        <v>0.4954798980886707</v>
      </c>
      <c r="F52" s="23" t="n">
        <v>0.4977399490443353</v>
      </c>
      <c r="G52" s="23" t="n">
        <v>0.5</v>
      </c>
      <c r="H52" s="23" t="n">
        <v>0.5022600509556646</v>
      </c>
      <c r="I52" s="23" t="n">
        <v>0.5045201019113292</v>
      </c>
    </row>
    <row r="53">
      <c r="A53" s="33" t="n">
        <v>45372</v>
      </c>
      <c r="B53" s="34" t="n">
        <v>2</v>
      </c>
      <c r="C53" s="23" t="n">
        <v>0.5</v>
      </c>
      <c r="D53" s="23" t="n">
        <v>0.00559233183476639</v>
      </c>
      <c r="E53" s="23" t="n">
        <v>0.4960456242369913</v>
      </c>
      <c r="F53" s="23" t="n">
        <v>0.4980228121184956</v>
      </c>
      <c r="G53" s="23" t="n">
        <v>0.5</v>
      </c>
      <c r="H53" s="23" t="n">
        <v>0.5019771878815044</v>
      </c>
      <c r="I53" s="23" t="n">
        <v>0.5039543757630087</v>
      </c>
    </row>
    <row r="54">
      <c r="A54" s="33" t="n">
        <v>45373</v>
      </c>
      <c r="B54" s="34" t="n">
        <v>2</v>
      </c>
      <c r="C54" s="23" t="n">
        <v>0.5</v>
      </c>
      <c r="D54" s="23" t="n">
        <v>0.007740130796275663</v>
      </c>
      <c r="E54" s="23" t="n">
        <v>0.4945269010266827</v>
      </c>
      <c r="F54" s="23" t="n">
        <v>0.4972634505133414</v>
      </c>
      <c r="G54" s="23" t="n">
        <v>0.5</v>
      </c>
      <c r="H54" s="23" t="n">
        <v>0.5027365494866587</v>
      </c>
      <c r="I54" s="23" t="n">
        <v>0.5054730989733174</v>
      </c>
    </row>
    <row r="55">
      <c r="A55" s="33" t="n">
        <v>45376</v>
      </c>
      <c r="B55" s="34" t="n">
        <v>2</v>
      </c>
      <c r="C55" s="23" t="n">
        <v>0.5</v>
      </c>
      <c r="D55" s="23" t="n">
        <v>0.00380427058231599</v>
      </c>
      <c r="E55" s="23" t="n">
        <v>0.4973099744737758</v>
      </c>
      <c r="F55" s="23" t="n">
        <v>0.4986549872368879</v>
      </c>
      <c r="G55" s="23" t="n">
        <v>0.5</v>
      </c>
      <c r="H55" s="23" t="n">
        <v>0.5013450127631121</v>
      </c>
      <c r="I55" s="23" t="n">
        <v>0.5026900255262241</v>
      </c>
    </row>
    <row r="56">
      <c r="A56" s="33" t="n">
        <v>45377</v>
      </c>
      <c r="B56" s="34" t="n">
        <v>2</v>
      </c>
      <c r="C56" s="23" t="n">
        <v>0.5</v>
      </c>
      <c r="D56" s="23" t="n">
        <v>0.001289595910231448</v>
      </c>
      <c r="E56" s="23" t="n">
        <v>0.4990881179868849</v>
      </c>
      <c r="F56" s="23" t="n">
        <v>0.4995440589934425</v>
      </c>
      <c r="G56" s="23" t="n">
        <v>0.5</v>
      </c>
      <c r="H56" s="23" t="n">
        <v>0.5004559410065575</v>
      </c>
      <c r="I56" s="23" t="n">
        <v>0.5009118820131151</v>
      </c>
    </row>
    <row r="57">
      <c r="A57" s="33" t="n">
        <v>45378</v>
      </c>
      <c r="B57" s="34" t="n">
        <v>2</v>
      </c>
      <c r="C57" s="23" t="n">
        <v>0.5</v>
      </c>
      <c r="D57" s="23" t="n">
        <v>0.005599837719979878</v>
      </c>
      <c r="E57" s="23" t="n">
        <v>0.496040316774658</v>
      </c>
      <c r="F57" s="23" t="n">
        <v>0.498020158387329</v>
      </c>
      <c r="G57" s="23" t="n">
        <v>0.5</v>
      </c>
      <c r="H57" s="23" t="n">
        <v>0.5019798416126711</v>
      </c>
      <c r="I57" s="23" t="n">
        <v>0.503959683225342</v>
      </c>
    </row>
    <row r="58">
      <c r="A58" s="33" t="n">
        <v>45379</v>
      </c>
      <c r="B58" s="34" t="n">
        <v>2</v>
      </c>
      <c r="C58" s="23" t="n">
        <v>0.5</v>
      </c>
      <c r="D58" s="23" t="n">
        <v>0.007078307705605261</v>
      </c>
      <c r="E58" s="23" t="n">
        <v>0.4949948806220415</v>
      </c>
      <c r="F58" s="23" t="n">
        <v>0.4974974403110207</v>
      </c>
      <c r="G58" s="23" t="n">
        <v>0.5</v>
      </c>
      <c r="H58" s="23" t="n">
        <v>0.5025025596889792</v>
      </c>
      <c r="I58" s="23" t="n">
        <v>0.5050051193779584</v>
      </c>
    </row>
    <row r="59">
      <c r="A59" s="33" t="n">
        <v>45380</v>
      </c>
      <c r="B59" s="34" t="n">
        <v>2</v>
      </c>
      <c r="C59" s="23" t="n">
        <v>0.5</v>
      </c>
      <c r="D59" s="23" t="n">
        <v>0.006330398606300968</v>
      </c>
      <c r="E59" s="23" t="n">
        <v>0.4955237322178707</v>
      </c>
      <c r="F59" s="23" t="n">
        <v>0.4977618661089354</v>
      </c>
      <c r="G59" s="23" t="n">
        <v>0.5</v>
      </c>
      <c r="H59" s="23" t="n">
        <v>0.5022381338910646</v>
      </c>
      <c r="I59" s="23" t="n">
        <v>0.5044762677821293</v>
      </c>
    </row>
    <row r="60">
      <c r="A60" s="33" t="n">
        <v>45383</v>
      </c>
      <c r="B60" s="34" t="n">
        <v>2</v>
      </c>
      <c r="C60" s="23" t="n">
        <v>0.5</v>
      </c>
      <c r="D60" s="23" t="n">
        <v>0.006126163540863643</v>
      </c>
      <c r="E60" s="23" t="n">
        <v>0.4956681482175975</v>
      </c>
      <c r="F60" s="23" t="n">
        <v>0.4978340741087988</v>
      </c>
      <c r="G60" s="23" t="n">
        <v>0.5</v>
      </c>
      <c r="H60" s="23" t="n">
        <v>0.5021659258912012</v>
      </c>
      <c r="I60" s="23" t="n">
        <v>0.5043318517824025</v>
      </c>
    </row>
    <row r="61">
      <c r="A61" s="33" t="n">
        <v>45384</v>
      </c>
      <c r="B61" s="34" t="n">
        <v>2</v>
      </c>
      <c r="C61" s="23" t="n">
        <v>0.5</v>
      </c>
      <c r="D61" s="23" t="n">
        <v>0.007618498863183882</v>
      </c>
      <c r="E61" s="23" t="n">
        <v>0.4946129077913807</v>
      </c>
      <c r="F61" s="23" t="n">
        <v>0.4973064538956903</v>
      </c>
      <c r="G61" s="23" t="n">
        <v>0.5</v>
      </c>
      <c r="H61" s="23" t="n">
        <v>0.5026935461043096</v>
      </c>
      <c r="I61" s="23" t="n">
        <v>0.5053870922086193</v>
      </c>
    </row>
    <row r="62">
      <c r="A62" s="33" t="n">
        <v>45385</v>
      </c>
      <c r="B62" s="34" t="n">
        <v>2</v>
      </c>
      <c r="C62" s="23" t="n">
        <v>0.5</v>
      </c>
      <c r="D62" s="23" t="n">
        <v>0.001022414064408998</v>
      </c>
      <c r="E62" s="23" t="n">
        <v>0.4992770440818759</v>
      </c>
      <c r="F62" s="23" t="n">
        <v>0.4996385220409379</v>
      </c>
      <c r="G62" s="23" t="n">
        <v>0.5</v>
      </c>
      <c r="H62" s="23" t="n">
        <v>0.5003614779590621</v>
      </c>
      <c r="I62" s="23" t="n">
        <v>0.5007229559181241</v>
      </c>
    </row>
    <row r="63">
      <c r="A63" s="33" t="n">
        <v>45390</v>
      </c>
      <c r="B63" s="34" t="n">
        <v>2</v>
      </c>
      <c r="C63" s="23" t="n">
        <v>0.5</v>
      </c>
      <c r="D63" s="23" t="n">
        <v>0.004474455897268854</v>
      </c>
      <c r="E63" s="23" t="n">
        <v>0.4968360818929211</v>
      </c>
      <c r="F63" s="23" t="n">
        <v>0.4984180409464605</v>
      </c>
      <c r="G63" s="23" t="n">
        <v>0.5</v>
      </c>
      <c r="H63" s="23" t="n">
        <v>0.5015819590535395</v>
      </c>
      <c r="I63" s="23" t="n">
        <v>0.5031639181070789</v>
      </c>
    </row>
    <row r="64">
      <c r="A64" s="33" t="n">
        <v>45391</v>
      </c>
      <c r="B64" s="34" t="n">
        <v>2</v>
      </c>
      <c r="C64" s="23" t="n">
        <v>0.5</v>
      </c>
      <c r="D64" s="23" t="n">
        <v>0.004520214282414781</v>
      </c>
      <c r="E64" s="23" t="n">
        <v>0.4968037258284883</v>
      </c>
      <c r="F64" s="23" t="n">
        <v>0.4984018629142442</v>
      </c>
      <c r="G64" s="23" t="n">
        <v>0.5</v>
      </c>
      <c r="H64" s="23" t="n">
        <v>0.501598137085756</v>
      </c>
      <c r="I64" s="23" t="n">
        <v>0.5031962741715118</v>
      </c>
    </row>
    <row r="65">
      <c r="A65" s="33" t="n">
        <v>45392</v>
      </c>
      <c r="B65" s="34" t="n">
        <v>2</v>
      </c>
      <c r="C65" s="23" t="n">
        <v>0.5</v>
      </c>
      <c r="D65" s="23" t="n">
        <v>0.009109605071171013</v>
      </c>
      <c r="E65" s="23" t="n">
        <v>0.4935585364802436</v>
      </c>
      <c r="F65" s="23" t="n">
        <v>0.4967792682401218</v>
      </c>
      <c r="G65" s="23" t="n">
        <v>0.5</v>
      </c>
      <c r="H65" s="23" t="n">
        <v>0.5032207317598782</v>
      </c>
      <c r="I65" s="23" t="n">
        <v>0.5064414635197564</v>
      </c>
    </row>
    <row r="66">
      <c r="A66" s="33" t="n">
        <v>45393</v>
      </c>
      <c r="B66" s="34" t="n">
        <v>2</v>
      </c>
      <c r="C66" s="23" t="n">
        <v>0.5</v>
      </c>
      <c r="D66" s="23" t="n">
        <v>0.008680978584206528</v>
      </c>
      <c r="E66" s="23" t="n">
        <v>0.4938616211757724</v>
      </c>
      <c r="F66" s="23" t="n">
        <v>0.4969308105878862</v>
      </c>
      <c r="G66" s="23" t="n">
        <v>0.5</v>
      </c>
      <c r="H66" s="23" t="n">
        <v>0.5030691894121138</v>
      </c>
      <c r="I66" s="23" t="n">
        <v>0.5061383788242276</v>
      </c>
    </row>
    <row r="67">
      <c r="A67" s="33" t="n">
        <v>45394</v>
      </c>
      <c r="B67" s="34" t="n">
        <v>2</v>
      </c>
      <c r="C67" s="23" t="n">
        <v>0.5</v>
      </c>
      <c r="D67" s="23" t="n">
        <v>0.003184368791933393</v>
      </c>
      <c r="E67" s="23" t="n">
        <v>0.4977483112334251</v>
      </c>
      <c r="F67" s="23" t="n">
        <v>0.4988741556167125</v>
      </c>
      <c r="G67" s="23" t="n">
        <v>0.5</v>
      </c>
      <c r="H67" s="23" t="n">
        <v>0.5011258443832874</v>
      </c>
      <c r="I67" s="23" t="n">
        <v>0.5022516887665749</v>
      </c>
    </row>
    <row r="68">
      <c r="A68" s="33" t="n">
        <v>45397</v>
      </c>
      <c r="B68" s="34" t="n">
        <v>2</v>
      </c>
      <c r="C68" s="23" t="n">
        <v>0.5</v>
      </c>
      <c r="D68" s="23" t="n">
        <v>0.002583595694678267</v>
      </c>
      <c r="E68" s="23" t="n">
        <v>0.4981731219644486</v>
      </c>
      <c r="F68" s="23" t="n">
        <v>0.4990865609822243</v>
      </c>
      <c r="G68" s="23" t="n">
        <v>0.5</v>
      </c>
      <c r="H68" s="23" t="n">
        <v>0.5009134390177756</v>
      </c>
      <c r="I68" s="23" t="n">
        <v>0.5018268780355514</v>
      </c>
    </row>
    <row r="69">
      <c r="A69" s="33" t="n">
        <v>45398</v>
      </c>
      <c r="B69" s="34" t="n">
        <v>2</v>
      </c>
      <c r="C69" s="23" t="n">
        <v>0.5</v>
      </c>
      <c r="D69" s="23" t="n">
        <v>0.00366359158900219</v>
      </c>
      <c r="E69" s="23" t="n">
        <v>0.4974094495439186</v>
      </c>
      <c r="F69" s="23" t="n">
        <v>0.4987047247719593</v>
      </c>
      <c r="G69" s="23" t="n">
        <v>0.5</v>
      </c>
      <c r="H69" s="23" t="n">
        <v>0.5012952752280407</v>
      </c>
      <c r="I69" s="23" t="n">
        <v>0.5025905504560815</v>
      </c>
    </row>
    <row r="70">
      <c r="A70" s="33" t="n">
        <v>45399</v>
      </c>
      <c r="B70" s="34" t="n">
        <v>2</v>
      </c>
      <c r="C70" s="23" t="n">
        <v>0.5</v>
      </c>
      <c r="D70" s="23" t="n">
        <v>0.005677137830239307</v>
      </c>
      <c r="E70" s="23" t="n">
        <v>0.4959856573425071</v>
      </c>
      <c r="F70" s="23" t="n">
        <v>0.4979928286712536</v>
      </c>
      <c r="G70" s="23" t="n">
        <v>0.5</v>
      </c>
      <c r="H70" s="23" t="n">
        <v>0.5020071713287464</v>
      </c>
      <c r="I70" s="23" t="n">
        <v>0.5040143426574929</v>
      </c>
    </row>
    <row r="71">
      <c r="A71" s="33" t="n">
        <v>45400</v>
      </c>
      <c r="B71" s="34" t="n">
        <v>2</v>
      </c>
      <c r="C71" s="23" t="n">
        <v>0.5</v>
      </c>
      <c r="D71" s="23" t="n">
        <v>0.009855264120848127</v>
      </c>
      <c r="E71" s="23" t="n">
        <v>0.4930312759097638</v>
      </c>
      <c r="F71" s="23" t="n">
        <v>0.4965156379548819</v>
      </c>
      <c r="G71" s="23" t="n">
        <v>0.5</v>
      </c>
      <c r="H71" s="23" t="n">
        <v>0.5034843620451182</v>
      </c>
      <c r="I71" s="23" t="n">
        <v>0.5069687240902362</v>
      </c>
    </row>
    <row r="72">
      <c r="A72" s="33" t="n">
        <v>45401</v>
      </c>
      <c r="B72" s="34" t="n">
        <v>2</v>
      </c>
      <c r="C72" s="23" t="n">
        <v>0.5</v>
      </c>
      <c r="D72" s="23" t="n">
        <v>0.0004030054618282128</v>
      </c>
      <c r="E72" s="23" t="n">
        <v>0.4997150321050861</v>
      </c>
      <c r="F72" s="23" t="n">
        <v>0.499857516052543</v>
      </c>
      <c r="G72" s="23" t="n">
        <v>0.5</v>
      </c>
      <c r="H72" s="23" t="n">
        <v>0.500142483947457</v>
      </c>
      <c r="I72" s="23" t="n">
        <v>0.5002849678949139</v>
      </c>
    </row>
    <row r="73">
      <c r="A73" s="33" t="n">
        <v>45404</v>
      </c>
      <c r="B73" s="34" t="n">
        <v>2</v>
      </c>
      <c r="C73" s="23" t="n">
        <v>0.5</v>
      </c>
      <c r="D73" s="23" t="n">
        <v>0.0001372078285567503</v>
      </c>
      <c r="E73" s="23" t="n">
        <v>0.4999029794139956</v>
      </c>
      <c r="F73" s="23" t="n">
        <v>0.4999514897069978</v>
      </c>
      <c r="G73" s="23" t="n">
        <v>0.5</v>
      </c>
      <c r="H73" s="23" t="n">
        <v>0.5000485102930021</v>
      </c>
      <c r="I73" s="23" t="n">
        <v>0.5000970205860044</v>
      </c>
    </row>
    <row r="74">
      <c r="A74" s="33" t="n">
        <v>45405</v>
      </c>
      <c r="B74" s="34" t="n">
        <v>2</v>
      </c>
      <c r="C74" s="23" t="n">
        <v>0.5</v>
      </c>
      <c r="D74" s="23" t="n">
        <v>0.002129918699736355</v>
      </c>
      <c r="E74" s="23" t="n">
        <v>0.4984939200440404</v>
      </c>
      <c r="F74" s="23" t="n">
        <v>0.4992469600220202</v>
      </c>
      <c r="G74" s="23" t="n">
        <v>0.5</v>
      </c>
      <c r="H74" s="23" t="n">
        <v>0.5007530399779798</v>
      </c>
      <c r="I74" s="23" t="n">
        <v>0.5015060799559596</v>
      </c>
    </row>
    <row r="75">
      <c r="A75" s="33" t="n">
        <v>45406</v>
      </c>
      <c r="B75" s="34" t="n">
        <v>2</v>
      </c>
      <c r="C75" s="23" t="n">
        <v>0.5</v>
      </c>
      <c r="D75" s="23" t="n">
        <v>0.002245640138161106</v>
      </c>
      <c r="E75" s="23" t="n">
        <v>0.4984120926302016</v>
      </c>
      <c r="F75" s="23" t="n">
        <v>0.4992060463151008</v>
      </c>
      <c r="G75" s="23" t="n">
        <v>0.5</v>
      </c>
      <c r="H75" s="23" t="n">
        <v>0.5007939536848992</v>
      </c>
      <c r="I75" s="23" t="n">
        <v>0.5015879073697984</v>
      </c>
    </row>
    <row r="76">
      <c r="A76" s="33" t="n">
        <v>45407</v>
      </c>
      <c r="B76" s="34" t="n">
        <v>2</v>
      </c>
      <c r="C76" s="23" t="n">
        <v>0.5</v>
      </c>
      <c r="D76" s="23" t="n">
        <v>0.005156029236417984</v>
      </c>
      <c r="E76" s="23" t="n">
        <v>0.4963541367629328</v>
      </c>
      <c r="F76" s="23" t="n">
        <v>0.4981770683814664</v>
      </c>
      <c r="G76" s="23" t="n">
        <v>0.5</v>
      </c>
      <c r="H76" s="23" t="n">
        <v>0.5018229316185336</v>
      </c>
      <c r="I76" s="23" t="n">
        <v>0.5036458632370673</v>
      </c>
    </row>
    <row r="77">
      <c r="A77" s="33" t="n">
        <v>45408</v>
      </c>
      <c r="B77" s="34" t="n">
        <v>2</v>
      </c>
      <c r="C77" s="23" t="n">
        <v>0.5</v>
      </c>
      <c r="D77" s="23" t="n">
        <v>0.001167627857136357</v>
      </c>
      <c r="E77" s="23" t="n">
        <v>0.4991743624243166</v>
      </c>
      <c r="F77" s="23" t="n">
        <v>0.4995871812121583</v>
      </c>
      <c r="G77" s="23" t="n">
        <v>0.5</v>
      </c>
      <c r="H77" s="23" t="n">
        <v>0.5004128187878417</v>
      </c>
      <c r="I77" s="23" t="n">
        <v>0.5008256375756834</v>
      </c>
    </row>
    <row r="78">
      <c r="A78" s="33" t="n">
        <v>45411</v>
      </c>
      <c r="B78" s="34" t="n">
        <v>2</v>
      </c>
      <c r="C78" s="23" t="n">
        <v>0.5</v>
      </c>
      <c r="D78" s="23" t="n">
        <v>0.005245471683373411</v>
      </c>
      <c r="E78" s="23" t="n">
        <v>0.4962908914021646</v>
      </c>
      <c r="F78" s="23" t="n">
        <v>0.4981454457010823</v>
      </c>
      <c r="G78" s="23" t="n">
        <v>0.5</v>
      </c>
      <c r="H78" s="23" t="n">
        <v>0.5018545542989177</v>
      </c>
      <c r="I78" s="23" t="n">
        <v>0.5037091085978354</v>
      </c>
    </row>
    <row r="79">
      <c r="A79" s="33" t="n">
        <v>45412</v>
      </c>
      <c r="B79" s="34" t="n">
        <v>2</v>
      </c>
      <c r="C79" s="23" t="n">
        <v>0.5</v>
      </c>
      <c r="D79" s="23" t="n">
        <v>0.01367420239663793</v>
      </c>
      <c r="E79" s="23" t="n">
        <v>0.49033087875802</v>
      </c>
      <c r="F79" s="23" t="n">
        <v>0.49516543937901</v>
      </c>
      <c r="G79" s="23" t="n">
        <v>0.5</v>
      </c>
      <c r="H79" s="23" t="n">
        <v>0.5048345606209901</v>
      </c>
      <c r="I79" s="23" t="n">
        <v>0.50966912124198</v>
      </c>
    </row>
    <row r="80">
      <c r="A80" s="33" t="n">
        <v>45418</v>
      </c>
      <c r="B80" s="34" t="n">
        <v>2</v>
      </c>
      <c r="C80" s="23" t="n">
        <v>0.5</v>
      </c>
      <c r="D80" s="23" t="n">
        <v>0.01466957149928947</v>
      </c>
      <c r="E80" s="23" t="n">
        <v>0.4896270465157515</v>
      </c>
      <c r="F80" s="23" t="n">
        <v>0.4948135232578758</v>
      </c>
      <c r="G80" s="23" t="n">
        <v>0.5</v>
      </c>
      <c r="H80" s="23" t="n">
        <v>0.5051864767421242</v>
      </c>
      <c r="I80" s="23" t="n">
        <v>0.5103729534842485</v>
      </c>
    </row>
    <row r="81">
      <c r="A81" s="33" t="n">
        <v>45419</v>
      </c>
      <c r="B81" s="34" t="n">
        <v>2</v>
      </c>
      <c r="C81" s="23" t="n">
        <v>0.5</v>
      </c>
      <c r="D81" s="23" t="n">
        <v>0.01341769525339731</v>
      </c>
      <c r="E81" s="23" t="n">
        <v>0.4905122566984282</v>
      </c>
      <c r="F81" s="23" t="n">
        <v>0.4952561283492141</v>
      </c>
      <c r="G81" s="23" t="n">
        <v>0.5</v>
      </c>
      <c r="H81" s="23" t="n">
        <v>0.5047438716507858</v>
      </c>
      <c r="I81" s="23" t="n">
        <v>0.5094877433015718</v>
      </c>
    </row>
    <row r="82">
      <c r="A82" s="33" t="n">
        <v>45420</v>
      </c>
      <c r="B82" s="34" t="n">
        <v>2</v>
      </c>
      <c r="C82" s="23" t="n">
        <v>0.5</v>
      </c>
      <c r="D82" s="23" t="n">
        <v>0.002819119136831213</v>
      </c>
      <c r="E82" s="23" t="n">
        <v>0.4980065817413739</v>
      </c>
      <c r="F82" s="23" t="n">
        <v>0.4990032908706869</v>
      </c>
      <c r="G82" s="23" t="n">
        <v>0.5</v>
      </c>
      <c r="H82" s="23" t="n">
        <v>0.500996709129313</v>
      </c>
      <c r="I82" s="23" t="n">
        <v>0.5019934182586261</v>
      </c>
    </row>
    <row r="83">
      <c r="A83" s="33" t="n">
        <v>45421</v>
      </c>
      <c r="B83" s="34" t="n">
        <v>2</v>
      </c>
      <c r="C83" s="23" t="n">
        <v>0.5</v>
      </c>
      <c r="D83" s="23" t="n">
        <v>6.852473894624914e-05</v>
      </c>
      <c r="E83" s="23" t="n">
        <v>0.4999515456924121</v>
      </c>
      <c r="F83" s="23" t="n">
        <v>0.499975772846206</v>
      </c>
      <c r="G83" s="23" t="n">
        <v>0.5</v>
      </c>
      <c r="H83" s="23" t="n">
        <v>0.500024227153794</v>
      </c>
      <c r="I83" s="23" t="n">
        <v>0.5000484543075879</v>
      </c>
    </row>
    <row r="84">
      <c r="A84" s="33" t="n">
        <v>45422</v>
      </c>
      <c r="B84" s="34" t="n">
        <v>2</v>
      </c>
      <c r="C84" s="23" t="n">
        <v>0.5</v>
      </c>
      <c r="D84" s="23" t="n">
        <v>0.001469990531759203</v>
      </c>
      <c r="E84" s="23" t="n">
        <v>0.498960559726713</v>
      </c>
      <c r="F84" s="23" t="n">
        <v>0.4994802798633565</v>
      </c>
      <c r="G84" s="23" t="n">
        <v>0.5</v>
      </c>
      <c r="H84" s="23" t="n">
        <v>0.5005197201366435</v>
      </c>
      <c r="I84" s="23" t="n">
        <v>0.501039440273287</v>
      </c>
    </row>
    <row r="85">
      <c r="A85" s="33" t="n">
        <v>45425</v>
      </c>
      <c r="B85" s="34" t="n">
        <v>2</v>
      </c>
      <c r="C85" s="23" t="n">
        <v>0.5</v>
      </c>
      <c r="D85" s="23" t="n">
        <v>0.003447320783171414</v>
      </c>
      <c r="E85" s="23" t="n">
        <v>0.4975623760972942</v>
      </c>
      <c r="F85" s="23" t="n">
        <v>0.4987811880486471</v>
      </c>
      <c r="G85" s="23" t="n">
        <v>0.5</v>
      </c>
      <c r="H85" s="23" t="n">
        <v>0.501218811951353</v>
      </c>
      <c r="I85" s="23" t="n">
        <v>0.5024376239027059</v>
      </c>
    </row>
    <row r="86">
      <c r="A86" s="33" t="n">
        <v>45426</v>
      </c>
      <c r="B86" s="34" t="n">
        <v>2</v>
      </c>
      <c r="C86" s="23" t="n">
        <v>0.5</v>
      </c>
      <c r="D86" s="23" t="n">
        <v>0.001361648213555321</v>
      </c>
      <c r="E86" s="23" t="n">
        <v>0.4990371693146045</v>
      </c>
      <c r="F86" s="23" t="n">
        <v>0.4995185846573022</v>
      </c>
      <c r="G86" s="23" t="n">
        <v>0.5</v>
      </c>
      <c r="H86" s="23" t="n">
        <v>0.5004814153426977</v>
      </c>
      <c r="I86" s="23" t="n">
        <v>0.5009628306853955</v>
      </c>
    </row>
    <row r="87">
      <c r="A87" s="33" t="n">
        <v>45427</v>
      </c>
      <c r="B87" s="34" t="n">
        <v>2</v>
      </c>
      <c r="C87" s="23" t="n">
        <v>0.5</v>
      </c>
      <c r="D87" s="23" t="n">
        <v>0.003026227623370252</v>
      </c>
      <c r="E87" s="23" t="n">
        <v>0.4978601339261008</v>
      </c>
      <c r="F87" s="23" t="n">
        <v>0.4989300669630504</v>
      </c>
      <c r="G87" s="23" t="n">
        <v>0.5</v>
      </c>
      <c r="H87" s="23" t="n">
        <v>0.5010699330369496</v>
      </c>
      <c r="I87" s="23" t="n">
        <v>0.5021398660738992</v>
      </c>
    </row>
    <row r="88">
      <c r="A88" s="33" t="n">
        <v>45428</v>
      </c>
      <c r="B88" s="34" t="n">
        <v>2</v>
      </c>
      <c r="C88" s="23" t="n">
        <v>0.5</v>
      </c>
      <c r="D88" s="23" t="n">
        <v>0.003097802348244045</v>
      </c>
      <c r="E88" s="23" t="n">
        <v>0.497809522952781</v>
      </c>
      <c r="F88" s="23" t="n">
        <v>0.4989047614763905</v>
      </c>
      <c r="G88" s="23" t="n">
        <v>0.5</v>
      </c>
      <c r="H88" s="23" t="n">
        <v>0.5010952385236095</v>
      </c>
      <c r="I88" s="23" t="n">
        <v>0.502190477047219</v>
      </c>
    </row>
    <row r="89">
      <c r="A89" s="33" t="n">
        <v>45429</v>
      </c>
      <c r="B89" s="34" t="n">
        <v>2</v>
      </c>
      <c r="C89" s="23" t="n">
        <v>0.5</v>
      </c>
      <c r="D89" s="23" t="n">
        <v>0.002783318599488881</v>
      </c>
      <c r="E89" s="23" t="n">
        <v>0.4980318965440988</v>
      </c>
      <c r="F89" s="23" t="n">
        <v>0.4990159482720494</v>
      </c>
      <c r="G89" s="23" t="n">
        <v>0.5</v>
      </c>
      <c r="H89" s="23" t="n">
        <v>0.5009840517279507</v>
      </c>
      <c r="I89" s="23" t="n">
        <v>0.5019681034559013</v>
      </c>
    </row>
    <row r="90">
      <c r="A90" s="33" t="n">
        <v>45432</v>
      </c>
      <c r="B90" s="34" t="n">
        <v>2</v>
      </c>
      <c r="C90" s="23" t="n">
        <v>0.5</v>
      </c>
      <c r="D90" s="23" t="n">
        <v>0.008619938933440619</v>
      </c>
      <c r="E90" s="23" t="n">
        <v>0.4939047827267502</v>
      </c>
      <c r="F90" s="23" t="n">
        <v>0.4969523913633751</v>
      </c>
      <c r="G90" s="23" t="n">
        <v>0.5</v>
      </c>
      <c r="H90" s="23" t="n">
        <v>0.5030476086366249</v>
      </c>
      <c r="I90" s="23" t="n">
        <v>0.5060952172732498</v>
      </c>
    </row>
    <row r="91">
      <c r="A91" s="33" t="n">
        <v>45433</v>
      </c>
      <c r="B91" s="34" t="n">
        <v>2</v>
      </c>
      <c r="C91" s="23" t="n">
        <v>0.5</v>
      </c>
      <c r="D91" s="23" t="n">
        <v>0.01420575236478773</v>
      </c>
      <c r="E91" s="23" t="n">
        <v>0.4899550161710017</v>
      </c>
      <c r="F91" s="23" t="n">
        <v>0.4949775080855008</v>
      </c>
      <c r="G91" s="23" t="n">
        <v>0.5</v>
      </c>
      <c r="H91" s="23" t="n">
        <v>0.5050224919144991</v>
      </c>
      <c r="I91" s="23" t="n">
        <v>0.5100449838289982</v>
      </c>
    </row>
    <row r="92">
      <c r="A92" s="33" t="n">
        <v>45434</v>
      </c>
      <c r="B92" s="34" t="n">
        <v>2</v>
      </c>
      <c r="C92" s="23" t="n">
        <v>0.5</v>
      </c>
      <c r="D92" s="23" t="n">
        <v>0.005118023760091592</v>
      </c>
      <c r="E92" s="23" t="n">
        <v>0.4963810106929654</v>
      </c>
      <c r="F92" s="23" t="n">
        <v>0.4981905053464827</v>
      </c>
      <c r="G92" s="23" t="n">
        <v>0.5</v>
      </c>
      <c r="H92" s="23" t="n">
        <v>0.5018094946535173</v>
      </c>
      <c r="I92" s="23" t="n">
        <v>0.5036189893070346</v>
      </c>
    </row>
    <row r="93">
      <c r="A93" s="33" t="n">
        <v>45435</v>
      </c>
      <c r="B93" s="34" t="n">
        <v>2</v>
      </c>
      <c r="C93" s="23" t="n">
        <v>0.5</v>
      </c>
      <c r="D93" s="23" t="n">
        <v>0.009564338098615222</v>
      </c>
      <c r="E93" s="23" t="n">
        <v>0.4932369916729083</v>
      </c>
      <c r="F93" s="23" t="n">
        <v>0.4966184958364541</v>
      </c>
      <c r="G93" s="23" t="n">
        <v>0.5</v>
      </c>
      <c r="H93" s="23" t="n">
        <v>0.5033815041635458</v>
      </c>
      <c r="I93" s="23" t="n">
        <v>0.5067630083270916</v>
      </c>
    </row>
    <row r="94">
      <c r="A94" s="33" t="n">
        <v>45436</v>
      </c>
      <c r="B94" s="34" t="n">
        <v>2</v>
      </c>
      <c r="C94" s="23" t="n">
        <v>0.5</v>
      </c>
      <c r="D94" s="23" t="n">
        <v>0.01332553185657701</v>
      </c>
      <c r="E94" s="23" t="n">
        <v>0.490577426061297</v>
      </c>
      <c r="F94" s="23" t="n">
        <v>0.4952887130306485</v>
      </c>
      <c r="G94" s="23" t="n">
        <v>0.5</v>
      </c>
      <c r="H94" s="23" t="n">
        <v>0.5047112869693514</v>
      </c>
      <c r="I94" s="23" t="n">
        <v>0.5094225739387029</v>
      </c>
    </row>
    <row r="95">
      <c r="A95" s="33" t="n">
        <v>45439</v>
      </c>
      <c r="B95" s="34" t="n">
        <v>2</v>
      </c>
      <c r="C95" s="23" t="n">
        <v>0.5</v>
      </c>
      <c r="D95" s="23" t="n">
        <v>0.01580126885333065</v>
      </c>
      <c r="E95" s="23" t="n">
        <v>0.4888268156424581</v>
      </c>
      <c r="F95" s="23" t="n">
        <v>0.4944134078212291</v>
      </c>
      <c r="G95" s="23" t="n">
        <v>0.5</v>
      </c>
      <c r="H95" s="23" t="n">
        <v>0.505586592178771</v>
      </c>
      <c r="I95" s="23" t="n">
        <v>0.5111731843575419</v>
      </c>
    </row>
    <row r="96">
      <c r="A96" s="33" t="n">
        <v>45440</v>
      </c>
      <c r="B96" s="34" t="n">
        <v>2</v>
      </c>
      <c r="C96" s="23" t="n">
        <v>0.5</v>
      </c>
      <c r="D96" s="23" t="n">
        <v>0.01853602270323004</v>
      </c>
      <c r="E96" s="23" t="n">
        <v>0.4868930526503182</v>
      </c>
      <c r="F96" s="23" t="n">
        <v>0.4934465263251591</v>
      </c>
      <c r="G96" s="23" t="n">
        <v>0.5</v>
      </c>
      <c r="H96" s="23" t="n">
        <v>0.5065534736748409</v>
      </c>
      <c r="I96" s="23" t="n">
        <v>0.5131069473496818</v>
      </c>
    </row>
    <row r="97">
      <c r="A97" s="33" t="n">
        <v>45441</v>
      </c>
      <c r="B97" s="34" t="n">
        <v>2</v>
      </c>
      <c r="C97" s="23" t="n">
        <v>0.5</v>
      </c>
      <c r="D97" s="23" t="n">
        <v>0.002237326081832175</v>
      </c>
      <c r="E97" s="23" t="n">
        <v>0.498417971555811</v>
      </c>
      <c r="F97" s="23" t="n">
        <v>0.4992089857779055</v>
      </c>
      <c r="G97" s="23" t="n">
        <v>0.5</v>
      </c>
      <c r="H97" s="23" t="n">
        <v>0.5007910142220946</v>
      </c>
      <c r="I97" s="23" t="n">
        <v>0.5015820284441891</v>
      </c>
    </row>
    <row r="98">
      <c r="A98" s="33" t="n">
        <v>45442</v>
      </c>
      <c r="B98" s="34" t="n">
        <v>2</v>
      </c>
      <c r="C98" s="23" t="n">
        <v>0.5</v>
      </c>
      <c r="D98" s="23" t="n">
        <v>0.002892819330518973</v>
      </c>
      <c r="E98" s="23" t="n">
        <v>0.4979544678346425</v>
      </c>
      <c r="F98" s="23" t="n">
        <v>0.4989772339173213</v>
      </c>
      <c r="G98" s="23" t="n">
        <v>0.5</v>
      </c>
      <c r="H98" s="23" t="n">
        <v>0.5010227660826788</v>
      </c>
      <c r="I98" s="23" t="n">
        <v>0.5020455321653575</v>
      </c>
    </row>
    <row r="99">
      <c r="A99" s="33" t="n">
        <v>45443</v>
      </c>
      <c r="B99" s="34" t="n">
        <v>2</v>
      </c>
      <c r="C99" s="23" t="n">
        <v>0.5</v>
      </c>
      <c r="D99" s="23" t="n">
        <v>0.0006764782451946052</v>
      </c>
      <c r="E99" s="23" t="n">
        <v>0.4995216576454977</v>
      </c>
      <c r="F99" s="23" t="n">
        <v>0.4997608288227489</v>
      </c>
      <c r="G99" s="23" t="n">
        <v>0.5</v>
      </c>
      <c r="H99" s="23" t="n">
        <v>0.5002391711772511</v>
      </c>
      <c r="I99" s="23" t="n">
        <v>0.5004783423545023</v>
      </c>
    </row>
    <row r="100">
      <c r="A100" s="33" t="n">
        <v>45446</v>
      </c>
      <c r="B100" s="34" t="n">
        <v>2</v>
      </c>
      <c r="C100" s="23" t="n">
        <v>0.5</v>
      </c>
      <c r="D100" s="23" t="n">
        <v>0.002285109997039808</v>
      </c>
      <c r="E100" s="23" t="n">
        <v>0.498384183225336</v>
      </c>
      <c r="F100" s="23" t="n">
        <v>0.499192091612668</v>
      </c>
      <c r="G100" s="23" t="n">
        <v>0.5</v>
      </c>
      <c r="H100" s="23" t="n">
        <v>0.500807908387332</v>
      </c>
      <c r="I100" s="23" t="n">
        <v>0.501615816774664</v>
      </c>
    </row>
    <row r="101">
      <c r="A101" s="33" t="n">
        <v>45447</v>
      </c>
      <c r="B101" s="34" t="n">
        <v>2</v>
      </c>
      <c r="C101" s="23" t="n">
        <v>0.5</v>
      </c>
      <c r="D101" s="23" t="n">
        <v>0.002703329731089425</v>
      </c>
      <c r="E101" s="23" t="n">
        <v>0.4980884572153635</v>
      </c>
      <c r="F101" s="23" t="n">
        <v>0.4990442286076818</v>
      </c>
      <c r="G101" s="23" t="n">
        <v>0.5</v>
      </c>
      <c r="H101" s="23" t="n">
        <v>0.5009557713923183</v>
      </c>
      <c r="I101" s="23" t="n">
        <v>0.5019115427846366</v>
      </c>
    </row>
    <row r="102">
      <c r="A102" s="33" t="n">
        <v>45448</v>
      </c>
      <c r="B102" s="34" t="n">
        <v>2</v>
      </c>
      <c r="C102" s="23" t="n">
        <v>0.5</v>
      </c>
      <c r="D102" s="23" t="n">
        <v>0.0001217798883240041</v>
      </c>
      <c r="E102" s="23" t="n">
        <v>0.499913888615154</v>
      </c>
      <c r="F102" s="23" t="n">
        <v>0.499956944307577</v>
      </c>
      <c r="G102" s="23" t="n">
        <v>0.5</v>
      </c>
      <c r="H102" s="23" t="n">
        <v>0.500043055692423</v>
      </c>
      <c r="I102" s="23" t="n">
        <v>0.500086111384846</v>
      </c>
    </row>
    <row r="103">
      <c r="A103" s="33" t="n">
        <v>45449</v>
      </c>
      <c r="B103" s="34" t="n">
        <v>2</v>
      </c>
      <c r="C103" s="23" t="n">
        <v>0.5</v>
      </c>
      <c r="D103" s="23" t="n">
        <v>0.003620219420161832</v>
      </c>
      <c r="E103" s="23" t="n">
        <v>0.4974401182986203</v>
      </c>
      <c r="F103" s="23" t="n">
        <v>0.4987200591493102</v>
      </c>
      <c r="G103" s="23" t="n">
        <v>0.5</v>
      </c>
      <c r="H103" s="23" t="n">
        <v>0.5012799408506898</v>
      </c>
      <c r="I103" s="23" t="n">
        <v>0.5025598817013797</v>
      </c>
    </row>
    <row r="104">
      <c r="A104" s="33" t="n">
        <v>45450</v>
      </c>
      <c r="B104" s="34" t="n">
        <v>2</v>
      </c>
      <c r="C104" s="23" t="n">
        <v>0.5</v>
      </c>
      <c r="D104" s="23" t="n">
        <v>0.008940977190750264</v>
      </c>
      <c r="E104" s="23" t="n">
        <v>0.4936777743979863</v>
      </c>
      <c r="F104" s="23" t="n">
        <v>0.4968388871989932</v>
      </c>
      <c r="G104" s="23" t="n">
        <v>0.5</v>
      </c>
      <c r="H104" s="23" t="n">
        <v>0.5031611128010069</v>
      </c>
      <c r="I104" s="23" t="n">
        <v>0.5063222256020138</v>
      </c>
    </row>
    <row r="105">
      <c r="A105" s="33" t="n">
        <v>45454</v>
      </c>
      <c r="B105" s="34" t="n">
        <v>2</v>
      </c>
      <c r="C105" s="23" t="n">
        <v>0.5</v>
      </c>
      <c r="D105" s="23" t="n">
        <v>0.004510385771371014</v>
      </c>
      <c r="E105" s="23" t="n">
        <v>0.4968106756352962</v>
      </c>
      <c r="F105" s="23" t="n">
        <v>0.4984053378176481</v>
      </c>
      <c r="G105" s="23" t="n">
        <v>0.5</v>
      </c>
      <c r="H105" s="23" t="n">
        <v>0.5015946621823519</v>
      </c>
      <c r="I105" s="23" t="n">
        <v>0.5031893243647038</v>
      </c>
    </row>
    <row r="106">
      <c r="A106" s="33" t="n">
        <v>45455</v>
      </c>
      <c r="B106" s="34" t="n">
        <v>2</v>
      </c>
      <c r="C106" s="23" t="n">
        <v>0.5</v>
      </c>
      <c r="D106" s="23" t="n">
        <v>0.006424000077931097</v>
      </c>
      <c r="E106" s="23" t="n">
        <v>0.495457545982552</v>
      </c>
      <c r="F106" s="23" t="n">
        <v>0.497728772991276</v>
      </c>
      <c r="G106" s="23" t="n">
        <v>0.5</v>
      </c>
      <c r="H106" s="23" t="n">
        <v>0.5022712270087241</v>
      </c>
      <c r="I106" s="23" t="n">
        <v>0.504542454017448</v>
      </c>
    </row>
    <row r="107">
      <c r="A107" s="33" t="n">
        <v>45456</v>
      </c>
      <c r="B107" s="34" t="n">
        <v>2</v>
      </c>
      <c r="C107" s="23" t="n">
        <v>0.5</v>
      </c>
      <c r="D107" s="23" t="n">
        <v>0.003124776937531467</v>
      </c>
      <c r="E107" s="23" t="n">
        <v>0.4977904490377762</v>
      </c>
      <c r="F107" s="23" t="n">
        <v>0.4988952245188881</v>
      </c>
      <c r="G107" s="23" t="n">
        <v>0.5</v>
      </c>
      <c r="H107" s="23" t="n">
        <v>0.501104775481112</v>
      </c>
      <c r="I107" s="23" t="n">
        <v>0.5022095509622239</v>
      </c>
    </row>
    <row r="108">
      <c r="A108" s="33" t="n">
        <v>45457</v>
      </c>
      <c r="B108" s="34" t="n">
        <v>2</v>
      </c>
      <c r="C108" s="23" t="n">
        <v>0.5</v>
      </c>
      <c r="D108" s="23" t="n">
        <v>0.02445212484046051</v>
      </c>
      <c r="E108" s="23" t="n">
        <v>0.4827097367108903</v>
      </c>
      <c r="F108" s="23" t="n">
        <v>0.4913548683554452</v>
      </c>
      <c r="G108" s="23" t="n">
        <v>0.5</v>
      </c>
      <c r="H108" s="23" t="n">
        <v>0.5086451316445548</v>
      </c>
      <c r="I108" s="23" t="n">
        <v>0.5172902632891097</v>
      </c>
    </row>
    <row r="109">
      <c r="A109" s="33" t="n">
        <v>45460</v>
      </c>
      <c r="B109" s="34" t="n">
        <v>2</v>
      </c>
      <c r="C109" s="23" t="n">
        <v>0.5</v>
      </c>
      <c r="D109" s="23" t="n">
        <v>0.02549856204111474</v>
      </c>
      <c r="E109" s="23" t="n">
        <v>0.4819697938702219</v>
      </c>
      <c r="F109" s="23" t="n">
        <v>0.4909848969351109</v>
      </c>
      <c r="G109" s="23" t="n">
        <v>0.5</v>
      </c>
      <c r="H109" s="23" t="n">
        <v>0.5090151030648891</v>
      </c>
      <c r="I109" s="23" t="n">
        <v>0.5180302061297781</v>
      </c>
    </row>
    <row r="110">
      <c r="A110" s="33" t="n">
        <v>45461</v>
      </c>
      <c r="B110" s="34" t="n">
        <v>2</v>
      </c>
      <c r="C110" s="23" t="n">
        <v>0.5</v>
      </c>
      <c r="D110" s="23" t="n">
        <v>0.02576225961631826</v>
      </c>
      <c r="E110" s="23" t="n">
        <v>0.481783331526613</v>
      </c>
      <c r="F110" s="23" t="n">
        <v>0.4908916657633065</v>
      </c>
      <c r="G110" s="23" t="n">
        <v>0.5</v>
      </c>
      <c r="H110" s="23" t="n">
        <v>0.5091083342366935</v>
      </c>
      <c r="I110" s="23" t="n">
        <v>0.518216668473387</v>
      </c>
    </row>
    <row r="111">
      <c r="A111" s="33" t="n">
        <v>45462</v>
      </c>
      <c r="B111" s="34" t="n">
        <v>2</v>
      </c>
      <c r="C111" s="23" t="n">
        <v>0.5</v>
      </c>
      <c r="D111" s="23" t="n">
        <v>0.02894689864779939</v>
      </c>
      <c r="E111" s="23" t="n">
        <v>0.4795314516718214</v>
      </c>
      <c r="F111" s="23" t="n">
        <v>0.4897657258359107</v>
      </c>
      <c r="G111" s="23" t="n">
        <v>0.5</v>
      </c>
      <c r="H111" s="23" t="n">
        <v>0.5102342741640894</v>
      </c>
      <c r="I111" s="23" t="n">
        <v>0.5204685483281787</v>
      </c>
    </row>
    <row r="112">
      <c r="A112" s="33" t="n">
        <v>45463</v>
      </c>
      <c r="B112" s="34" t="n">
        <v>2</v>
      </c>
      <c r="C112" s="23" t="n">
        <v>0.5</v>
      </c>
      <c r="D112" s="23" t="n">
        <v>0.001716124322879682</v>
      </c>
      <c r="E112" s="23" t="n">
        <v>0.4987865168539326</v>
      </c>
      <c r="F112" s="23" t="n">
        <v>0.4993932584269663</v>
      </c>
      <c r="G112" s="23" t="n">
        <v>0.5</v>
      </c>
      <c r="H112" s="23" t="n">
        <v>0.5006067415730338</v>
      </c>
      <c r="I112" s="23" t="n">
        <v>0.5012134831460674</v>
      </c>
    </row>
    <row r="113">
      <c r="A113" s="33" t="n">
        <v>45464</v>
      </c>
      <c r="B113" s="34" t="n">
        <v>2</v>
      </c>
      <c r="C113" s="23" t="n">
        <v>0.5</v>
      </c>
      <c r="D113" s="23" t="n">
        <v>0.003657639263830919</v>
      </c>
      <c r="E113" s="23" t="n">
        <v>0.497413658473411</v>
      </c>
      <c r="F113" s="23" t="n">
        <v>0.4987068292367055</v>
      </c>
      <c r="G113" s="23" t="n">
        <v>0.5</v>
      </c>
      <c r="H113" s="23" t="n">
        <v>0.5012931707632945</v>
      </c>
      <c r="I113" s="23" t="n">
        <v>0.502586341526589</v>
      </c>
    </row>
    <row r="114">
      <c r="A114" s="33" t="n">
        <v>45467</v>
      </c>
      <c r="B114" s="34" t="n">
        <v>2</v>
      </c>
      <c r="C114" s="23" t="n">
        <v>0.5</v>
      </c>
      <c r="D114" s="23" t="n">
        <v>0.001069469042972298</v>
      </c>
      <c r="E114" s="23" t="n">
        <v>0.4992437711874452</v>
      </c>
      <c r="F114" s="23" t="n">
        <v>0.4996218855937226</v>
      </c>
      <c r="G114" s="23" t="n">
        <v>0.5</v>
      </c>
      <c r="H114" s="23" t="n">
        <v>0.5003781144062773</v>
      </c>
      <c r="I114" s="23" t="n">
        <v>0.5007562288125548</v>
      </c>
    </row>
    <row r="115">
      <c r="A115" s="33" t="n">
        <v>45468</v>
      </c>
      <c r="B115" s="34" t="n">
        <v>2</v>
      </c>
      <c r="C115" s="23" t="n">
        <v>0.5</v>
      </c>
      <c r="D115" s="23" t="n">
        <v>0.001285806163439768</v>
      </c>
      <c r="E115" s="23" t="n">
        <v>0.4990907977425403</v>
      </c>
      <c r="F115" s="23" t="n">
        <v>0.4995453988712701</v>
      </c>
      <c r="G115" s="23" t="n">
        <v>0.5</v>
      </c>
      <c r="H115" s="23" t="n">
        <v>0.5004546011287299</v>
      </c>
      <c r="I115" s="23" t="n">
        <v>0.5009092022574597</v>
      </c>
    </row>
    <row r="116">
      <c r="A116" s="33" t="n">
        <v>45469</v>
      </c>
      <c r="B116" s="34" t="n">
        <v>2</v>
      </c>
      <c r="C116" s="23" t="n">
        <v>0.5</v>
      </c>
      <c r="D116" s="23" t="n">
        <v>0.001627627921649909</v>
      </c>
      <c r="E116" s="23" t="n">
        <v>0.4988490932593528</v>
      </c>
      <c r="F116" s="23" t="n">
        <v>0.4994245466296764</v>
      </c>
      <c r="G116" s="23" t="n">
        <v>0.5</v>
      </c>
      <c r="H116" s="23" t="n">
        <v>0.5005754533703236</v>
      </c>
      <c r="I116" s="23" t="n">
        <v>0.5011509067406472</v>
      </c>
    </row>
    <row r="117">
      <c r="A117" s="33" t="n">
        <v>45470</v>
      </c>
      <c r="B117" s="34" t="n">
        <v>2</v>
      </c>
      <c r="C117" s="23" t="n">
        <v>0.5</v>
      </c>
      <c r="D117" s="23" t="n">
        <v>0.0005597045817047538</v>
      </c>
      <c r="E117" s="23" t="n">
        <v>0.4996042290948154</v>
      </c>
      <c r="F117" s="23" t="n">
        <v>0.4998021145474077</v>
      </c>
      <c r="G117" s="23" t="n">
        <v>0.5</v>
      </c>
      <c r="H117" s="23" t="n">
        <v>0.5001978854525924</v>
      </c>
      <c r="I117" s="23" t="n">
        <v>0.5003957709051846</v>
      </c>
    </row>
    <row r="118">
      <c r="A118" s="33" t="n">
        <v>45471</v>
      </c>
      <c r="B118" s="34" t="n">
        <v>2</v>
      </c>
      <c r="C118" s="23" t="n">
        <v>0.5</v>
      </c>
      <c r="D118" s="23" t="n">
        <v>0.0005932663089953067</v>
      </c>
      <c r="E118" s="23" t="n">
        <v>0.4995804973698599</v>
      </c>
      <c r="F118" s="23" t="n">
        <v>0.49979024868493</v>
      </c>
      <c r="G118" s="23" t="n">
        <v>0.5</v>
      </c>
      <c r="H118" s="23" t="n">
        <v>0.5002097513150701</v>
      </c>
      <c r="I118" s="23" t="n">
        <v>0.5004195026301401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zoomScaleNormal="100" workbookViewId="0">
      <selection activeCell="F6" sqref="F6"/>
    </sheetView>
  </sheetViews>
  <sheetFormatPr baseColWidth="10" defaultColWidth="10.83203125" defaultRowHeight="17"/>
  <cols>
    <col width="20.6640625" customWidth="1" style="2" min="1" max="1"/>
    <col width="24.6640625" customWidth="1" style="2" min="2" max="5"/>
    <col width="24.6640625" customWidth="1" style="17" min="6" max="6"/>
    <col width="24.6640625" customWidth="1" style="2" min="7" max="7"/>
    <col width="24.6640625" customWidth="1" style="17" min="8" max="8"/>
    <col width="24.6640625" customWidth="1" style="2" min="9" max="10"/>
    <col width="14.33203125" customWidth="1" style="2" min="11" max="11"/>
    <col width="16.83203125" customWidth="1" style="2" min="12" max="12"/>
    <col width="16.5" customWidth="1" style="2" min="13" max="13"/>
    <col width="21" customWidth="1" style="2" min="14" max="14"/>
    <col width="22.33203125" customWidth="1" style="2" min="15" max="15"/>
    <col width="10.83203125" customWidth="1" style="2" min="16" max="16"/>
    <col width="10.83203125" customWidth="1" style="2" min="17" max="16384"/>
  </cols>
  <sheetData>
    <row r="1" ht="20" customHeight="1">
      <c r="A1" s="21" t="inlineStr">
        <is>
          <t>名称（标题）</t>
        </is>
      </c>
      <c r="B1" s="21" t="inlineStr">
        <is>
          <t>开始日期</t>
        </is>
      </c>
      <c r="C1" s="21" t="inlineStr">
        <is>
          <t>结束日期</t>
        </is>
      </c>
      <c r="D1" s="21" t="inlineStr">
        <is>
          <t>收益率</t>
        </is>
      </c>
      <c r="E1" s="21" t="inlineStr">
        <is>
          <t>年化收益率</t>
        </is>
      </c>
      <c r="F1" s="26" t="inlineStr">
        <is>
          <t>超额收益率（几何）</t>
        </is>
      </c>
      <c r="G1" s="21" t="inlineStr">
        <is>
          <t>绝对收益最大回撤</t>
        </is>
      </c>
      <c r="H1" s="26" t="inlineStr">
        <is>
          <t>超额最大回撤（几何）</t>
        </is>
      </c>
      <c r="I1" s="21" t="inlineStr">
        <is>
          <t>夏普比率</t>
        </is>
      </c>
      <c r="J1" s="21" t="inlineStr">
        <is>
          <t>超额夏普比率</t>
        </is>
      </c>
    </row>
    <row r="2" ht="20" customHeight="1">
      <c r="A2" s="16" t="inlineStr">
        <is>
          <t>小盘踩踏危机</t>
        </is>
      </c>
      <c r="B2" s="17" t="inlineStr">
        <is>
          <t>2024-01-05</t>
        </is>
      </c>
      <c r="C2" s="17" t="inlineStr">
        <is>
          <t>2024-02-08</t>
        </is>
      </c>
      <c r="D2" s="17" t="n">
        <v>0.07769488063217952</v>
      </c>
      <c r="E2" s="17" t="n">
        <v>1.125973583941945</v>
      </c>
      <c r="F2" s="17" t="n">
        <v>0.07769488063217955</v>
      </c>
      <c r="G2" s="17" t="n">
        <v>0.02654479482172795</v>
      </c>
      <c r="H2" s="17" t="n">
        <v/>
      </c>
      <c r="I2" s="17" t="n">
        <v>4.661702149389448</v>
      </c>
      <c r="J2" s="17" t="n">
        <v/>
      </c>
      <c r="K2" s="32" t="n"/>
      <c r="L2" s="32" t="n"/>
      <c r="M2" s="32" t="n"/>
      <c r="N2" s="17" t="n"/>
      <c r="O2" s="17" t="n"/>
      <c r="P2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2022-03-29T00:08:00Z</dcterms:created>
  <dcterms:modified xmlns:dcterms="http://purl.org/dc/terms/" xmlns:xsi="http://www.w3.org/2001/XMLSchema-instance" xsi:type="dcterms:W3CDTF">2026-10-03T14:59:47Z</dcterms:modified>
  <cp:lastModifiedBy>Ziqi Cui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2052-5.2.1.7798</vt:lpwstr>
  </property>
  <property name="ICV" fmtid="{D5CDD505-2E9C-101B-9397-08002B2CF9AE}" pid="3">
    <vt:lpwstr xmlns:vt="http://schemas.openxmlformats.org/officeDocument/2006/docPropsVTypes">45417E3ABF4CDCB203C1BE622CD6EDCB</vt:lpwstr>
  </property>
</Properties>
</file>